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trae\2LIMS\"/>
    </mc:Choice>
  </mc:AlternateContent>
  <xr:revisionPtr revIDLastSave="0" documentId="8_{523FC4CC-4C52-47D9-9135-8AF833C5FA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设备管理" sheetId="6" r:id="rId1"/>
    <sheet name="环境管理" sheetId="1" r:id="rId2"/>
    <sheet name="易耗品管理" sheetId="4" r:id="rId3"/>
    <sheet name="方法管理" sheetId="5" r:id="rId4"/>
    <sheet name="委托信息" sheetId="7" r:id="rId5"/>
    <sheet name="Sheet2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" i="4" l="1"/>
  <c r="F120" i="4"/>
  <c r="E120" i="4"/>
  <c r="G119" i="4"/>
  <c r="F119" i="4"/>
  <c r="E119" i="4"/>
  <c r="G118" i="4"/>
  <c r="F118" i="4"/>
  <c r="E118" i="4"/>
  <c r="G117" i="4"/>
  <c r="F117" i="4"/>
  <c r="E117" i="4"/>
  <c r="G116" i="4"/>
  <c r="F116" i="4"/>
  <c r="E116" i="4"/>
  <c r="G115" i="4"/>
  <c r="F115" i="4"/>
  <c r="E115" i="4"/>
  <c r="G114" i="4"/>
  <c r="F114" i="4"/>
  <c r="E114" i="4"/>
  <c r="G113" i="4"/>
  <c r="F113" i="4"/>
  <c r="E113" i="4"/>
  <c r="G112" i="4"/>
  <c r="F112" i="4"/>
  <c r="E112" i="4"/>
  <c r="G111" i="4"/>
  <c r="F111" i="4"/>
  <c r="E111" i="4"/>
  <c r="G110" i="4"/>
  <c r="F110" i="4"/>
  <c r="E110" i="4"/>
  <c r="G109" i="4"/>
  <c r="F109" i="4"/>
  <c r="E109" i="4"/>
  <c r="G108" i="4"/>
  <c r="F108" i="4"/>
  <c r="E108" i="4"/>
  <c r="G107" i="4"/>
  <c r="F107" i="4"/>
  <c r="E107" i="4"/>
  <c r="G106" i="4"/>
  <c r="F106" i="4"/>
  <c r="E106" i="4"/>
  <c r="G105" i="4"/>
  <c r="F105" i="4"/>
  <c r="E105" i="4"/>
  <c r="G104" i="4"/>
  <c r="F104" i="4"/>
  <c r="E104" i="4"/>
  <c r="G103" i="4"/>
  <c r="F103" i="4"/>
  <c r="E103" i="4"/>
  <c r="G102" i="4"/>
  <c r="F102" i="4"/>
  <c r="E102" i="4"/>
  <c r="G101" i="4"/>
  <c r="F101" i="4"/>
  <c r="E101" i="4"/>
  <c r="G100" i="4"/>
  <c r="F100" i="4"/>
  <c r="E100" i="4"/>
  <c r="G99" i="4"/>
  <c r="F99" i="4"/>
  <c r="E99" i="4"/>
  <c r="G98" i="4"/>
  <c r="F98" i="4"/>
  <c r="E98" i="4"/>
  <c r="G97" i="4"/>
  <c r="F97" i="4"/>
  <c r="E97" i="4"/>
  <c r="G96" i="4"/>
  <c r="F96" i="4"/>
  <c r="E96" i="4"/>
  <c r="G95" i="4"/>
  <c r="F95" i="4"/>
  <c r="E95" i="4"/>
  <c r="G94" i="4"/>
  <c r="F94" i="4"/>
  <c r="E94" i="4"/>
  <c r="G93" i="4"/>
  <c r="F93" i="4"/>
  <c r="E93" i="4"/>
  <c r="G92" i="4"/>
  <c r="F92" i="4"/>
  <c r="E92" i="4"/>
  <c r="G91" i="4"/>
  <c r="F91" i="4"/>
  <c r="E91" i="4"/>
  <c r="G90" i="4"/>
  <c r="F90" i="4"/>
  <c r="E90" i="4"/>
  <c r="G89" i="4"/>
  <c r="F89" i="4"/>
  <c r="E89" i="4"/>
  <c r="G88" i="4"/>
  <c r="F88" i="4"/>
  <c r="E88" i="4"/>
  <c r="G87" i="4"/>
  <c r="F87" i="4"/>
  <c r="E87" i="4"/>
  <c r="G86" i="4"/>
  <c r="F86" i="4"/>
  <c r="E86" i="4"/>
  <c r="G85" i="4"/>
  <c r="F85" i="4"/>
  <c r="E85" i="4"/>
  <c r="G84" i="4"/>
  <c r="F84" i="4"/>
  <c r="E84" i="4"/>
  <c r="G83" i="4"/>
  <c r="F83" i="4"/>
  <c r="E83" i="4"/>
  <c r="G82" i="4"/>
  <c r="F82" i="4"/>
  <c r="E82" i="4"/>
  <c r="G81" i="4"/>
  <c r="F81" i="4"/>
  <c r="E81" i="4"/>
  <c r="G80" i="4"/>
  <c r="F80" i="4"/>
  <c r="E80" i="4"/>
  <c r="G79" i="4"/>
  <c r="F79" i="4"/>
  <c r="E79" i="4"/>
  <c r="G78" i="4"/>
  <c r="F78" i="4"/>
  <c r="E78" i="4"/>
  <c r="G77" i="4"/>
  <c r="F77" i="4"/>
  <c r="E77" i="4"/>
  <c r="G76" i="4"/>
  <c r="F76" i="4"/>
  <c r="E76" i="4"/>
  <c r="G75" i="4"/>
  <c r="F75" i="4"/>
  <c r="E75" i="4"/>
  <c r="G74" i="4"/>
  <c r="F74" i="4"/>
  <c r="E74" i="4"/>
  <c r="G73" i="4"/>
  <c r="F73" i="4"/>
  <c r="E73" i="4"/>
  <c r="G72" i="4"/>
  <c r="F72" i="4"/>
  <c r="E72" i="4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G8" i="4"/>
  <c r="G7" i="4"/>
  <c r="G6" i="4"/>
  <c r="G5" i="4"/>
  <c r="G4" i="4"/>
  <c r="G3" i="4"/>
</calcChain>
</file>

<file path=xl/sharedStrings.xml><?xml version="1.0" encoding="utf-8"?>
<sst xmlns="http://schemas.openxmlformats.org/spreadsheetml/2006/main" count="1739" uniqueCount="934">
  <si>
    <r>
      <rPr>
        <sz val="12"/>
        <color theme="1"/>
        <rFont val="宋体"/>
        <charset val="134"/>
      </rPr>
      <t>序号</t>
    </r>
  </si>
  <si>
    <r>
      <rPr>
        <sz val="12"/>
        <color theme="1"/>
        <rFont val="宋体"/>
        <charset val="134"/>
      </rPr>
      <t>名称及型号</t>
    </r>
  </si>
  <si>
    <r>
      <rPr>
        <sz val="12"/>
        <color theme="1"/>
        <rFont val="宋体"/>
        <charset val="134"/>
      </rPr>
      <t>编号</t>
    </r>
  </si>
  <si>
    <r>
      <rPr>
        <sz val="11"/>
        <color theme="1"/>
        <rFont val="宋体"/>
        <charset val="134"/>
      </rPr>
      <t>状态</t>
    </r>
  </si>
  <si>
    <r>
      <rPr>
        <sz val="11"/>
        <color theme="1"/>
        <rFont val="宋体"/>
        <charset val="134"/>
      </rPr>
      <t>利用率</t>
    </r>
  </si>
  <si>
    <r>
      <rPr>
        <sz val="12"/>
        <color theme="1"/>
        <rFont val="宋体"/>
        <charset val="134"/>
      </rPr>
      <t>火花源原子发射光谱仪</t>
    </r>
    <r>
      <rPr>
        <sz val="12"/>
        <color theme="1"/>
        <rFont val="Times New Roman"/>
        <family val="1"/>
      </rPr>
      <t>SPECTRO MAXx</t>
    </r>
  </si>
  <si>
    <t>ALTCCS-2022001</t>
  </si>
  <si>
    <r>
      <rPr>
        <sz val="11"/>
        <color theme="1"/>
        <rFont val="宋体"/>
        <charset val="134"/>
      </rPr>
      <t>运行</t>
    </r>
  </si>
  <si>
    <r>
      <rPr>
        <sz val="12"/>
        <color theme="1"/>
        <rFont val="宋体"/>
        <charset val="134"/>
      </rPr>
      <t>全自动显微维氏硬度计</t>
    </r>
    <r>
      <rPr>
        <sz val="12"/>
        <color theme="1"/>
        <rFont val="Times New Roman"/>
        <family val="1"/>
      </rPr>
      <t>THVS-1MDX-AXYZF</t>
    </r>
  </si>
  <si>
    <t>ALTCCS-2022005</t>
  </si>
  <si>
    <r>
      <rPr>
        <sz val="12"/>
        <color theme="1"/>
        <rFont val="宋体"/>
        <charset val="134"/>
      </rPr>
      <t>布氏硬度计</t>
    </r>
    <r>
      <rPr>
        <sz val="12"/>
        <color theme="1"/>
        <rFont val="Times New Roman"/>
        <family val="1"/>
      </rPr>
      <t xml:space="preserve">
THB-3000S</t>
    </r>
  </si>
  <si>
    <t>ALTCCS-2022006</t>
  </si>
  <si>
    <r>
      <rPr>
        <sz val="12"/>
        <color theme="1"/>
        <rFont val="宋体"/>
        <charset val="134"/>
      </rPr>
      <t>洛氏硬度计</t>
    </r>
    <r>
      <rPr>
        <sz val="12"/>
        <color theme="1"/>
        <rFont val="Times New Roman"/>
        <family val="1"/>
      </rPr>
      <t xml:space="preserve">
THR-150DT</t>
    </r>
  </si>
  <si>
    <t>ALTCCS-2022008</t>
  </si>
  <si>
    <r>
      <rPr>
        <sz val="12"/>
        <color theme="1"/>
        <rFont val="宋体"/>
        <charset val="134"/>
      </rPr>
      <t>金相显微镜</t>
    </r>
    <r>
      <rPr>
        <sz val="12"/>
        <color theme="1"/>
        <rFont val="Times New Roman"/>
        <family val="1"/>
      </rPr>
      <t xml:space="preserve">
AE2000MET</t>
    </r>
  </si>
  <si>
    <t>ALTCCS-2022013</t>
  </si>
  <si>
    <r>
      <rPr>
        <sz val="12"/>
        <color theme="1"/>
        <rFont val="宋体"/>
        <charset val="134"/>
      </rPr>
      <t>水平燃烧测试仪</t>
    </r>
    <r>
      <rPr>
        <sz val="12"/>
        <color theme="1"/>
        <rFont val="Times New Roman"/>
        <family val="1"/>
      </rPr>
      <t xml:space="preserve">
TTech-GB8410-T</t>
    </r>
  </si>
  <si>
    <t>ALTCCS-2022026</t>
  </si>
  <si>
    <r>
      <rPr>
        <sz val="12"/>
        <color theme="1"/>
        <rFont val="宋体"/>
        <charset val="134"/>
      </rPr>
      <t>垂直燃烧测试仪</t>
    </r>
    <r>
      <rPr>
        <sz val="12"/>
        <color theme="1"/>
        <rFont val="Times New Roman"/>
        <family val="1"/>
      </rPr>
      <t xml:space="preserve">
TTech-GB32086-T</t>
    </r>
  </si>
  <si>
    <t>ALTCCS-2022027</t>
  </si>
  <si>
    <r>
      <rPr>
        <sz val="12"/>
        <color theme="1"/>
        <rFont val="宋体"/>
        <charset val="134"/>
      </rPr>
      <t>盐雾试验箱（中性）</t>
    </r>
    <r>
      <rPr>
        <sz val="12"/>
        <color theme="1"/>
        <rFont val="Times New Roman"/>
        <family val="1"/>
      </rPr>
      <t xml:space="preserve">
QS-ST-720optA</t>
    </r>
  </si>
  <si>
    <t>ALTCCS-2022035</t>
  </si>
  <si>
    <r>
      <t>2T</t>
    </r>
    <r>
      <rPr>
        <sz val="12"/>
        <color theme="1"/>
        <rFont val="宋体"/>
        <charset val="134"/>
      </rPr>
      <t>电子万能试验机</t>
    </r>
    <r>
      <rPr>
        <sz val="12"/>
        <color theme="1"/>
        <rFont val="Times New Roman"/>
        <family val="1"/>
      </rPr>
      <t xml:space="preserve">
CMT4204</t>
    </r>
  </si>
  <si>
    <t>ALTCCS-2022052</t>
  </si>
  <si>
    <r>
      <t>5T</t>
    </r>
    <r>
      <rPr>
        <sz val="12"/>
        <color theme="1"/>
        <rFont val="宋体"/>
        <charset val="134"/>
      </rPr>
      <t>电子万能试验机</t>
    </r>
    <r>
      <rPr>
        <sz val="12"/>
        <color theme="1"/>
        <rFont val="Times New Roman"/>
        <family val="1"/>
      </rPr>
      <t xml:space="preserve">
E45.504</t>
    </r>
  </si>
  <si>
    <t>ALTCCS-2022053</t>
  </si>
  <si>
    <r>
      <rPr>
        <sz val="12"/>
        <color theme="1"/>
        <rFont val="宋体"/>
        <charset val="134"/>
      </rPr>
      <t>熔体流动速率试验机</t>
    </r>
    <r>
      <rPr>
        <sz val="12"/>
        <color theme="1"/>
        <rFont val="Times New Roman"/>
        <family val="1"/>
      </rPr>
      <t>ZRE1452</t>
    </r>
  </si>
  <si>
    <t>ALTCCS-2022055</t>
  </si>
  <si>
    <r>
      <rPr>
        <sz val="12"/>
        <color theme="1"/>
        <rFont val="宋体"/>
        <charset val="134"/>
      </rPr>
      <t>热变形维卡试验机</t>
    </r>
    <r>
      <rPr>
        <sz val="12"/>
        <color theme="1"/>
        <rFont val="Times New Roman"/>
        <family val="1"/>
      </rPr>
      <t xml:space="preserve">
ZWK1302-B</t>
    </r>
  </si>
  <si>
    <t>ALTCCS-2022056</t>
  </si>
  <si>
    <r>
      <rPr>
        <sz val="12"/>
        <color theme="1"/>
        <rFont val="宋体"/>
        <charset val="134"/>
      </rPr>
      <t>电子天平</t>
    </r>
    <r>
      <rPr>
        <sz val="12"/>
        <color theme="1"/>
        <rFont val="Times New Roman"/>
        <family val="1"/>
      </rPr>
      <t xml:space="preserve">
MSA2203S-1CE-DE</t>
    </r>
  </si>
  <si>
    <t>ALTCCS-2022061</t>
  </si>
  <si>
    <r>
      <rPr>
        <sz val="12"/>
        <color theme="1"/>
        <rFont val="宋体"/>
        <charset val="134"/>
      </rPr>
      <t>摆锤冲击试验机</t>
    </r>
    <r>
      <rPr>
        <sz val="12"/>
        <color theme="1"/>
        <rFont val="Times New Roman"/>
        <family val="1"/>
      </rPr>
      <t xml:space="preserve">
ZBC7550-B</t>
    </r>
  </si>
  <si>
    <t>ALTCCS-2022063</t>
  </si>
  <si>
    <r>
      <rPr>
        <sz val="12"/>
        <color theme="1"/>
        <rFont val="宋体"/>
        <charset val="134"/>
      </rPr>
      <t>数显游标卡尺</t>
    </r>
  </si>
  <si>
    <t>ALTCCS-2022066</t>
  </si>
  <si>
    <r>
      <rPr>
        <sz val="12"/>
        <color theme="1"/>
        <rFont val="宋体"/>
        <charset val="134"/>
      </rPr>
      <t>电导率仪</t>
    </r>
    <r>
      <rPr>
        <sz val="12"/>
        <color theme="1"/>
        <rFont val="Times New Roman"/>
        <family val="1"/>
      </rPr>
      <t xml:space="preserve">
S230</t>
    </r>
  </si>
  <si>
    <t>ALTCCS-2022067</t>
  </si>
  <si>
    <r>
      <t>PH</t>
    </r>
    <r>
      <rPr>
        <sz val="12"/>
        <color theme="1"/>
        <rFont val="宋体"/>
        <charset val="134"/>
      </rPr>
      <t>计</t>
    </r>
    <r>
      <rPr>
        <sz val="12"/>
        <color theme="1"/>
        <rFont val="Times New Roman"/>
        <family val="1"/>
      </rPr>
      <t xml:space="preserve">
S2</t>
    </r>
  </si>
  <si>
    <t>ALTCCS-2022068</t>
  </si>
  <si>
    <r>
      <rPr>
        <sz val="12"/>
        <color theme="1"/>
        <rFont val="宋体"/>
        <charset val="134"/>
      </rPr>
      <t>密度计</t>
    </r>
    <r>
      <rPr>
        <sz val="12"/>
        <color theme="1"/>
        <rFont val="Times New Roman"/>
        <family val="1"/>
      </rPr>
      <t xml:space="preserve">
DMA35</t>
    </r>
  </si>
  <si>
    <t>ALTCCS-2022069</t>
  </si>
  <si>
    <r>
      <rPr>
        <sz val="12"/>
        <color rgb="FF000000"/>
        <rFont val="宋体"/>
        <charset val="134"/>
      </rPr>
      <t>轴向电子引伸计</t>
    </r>
    <r>
      <rPr>
        <sz val="12"/>
        <color rgb="FF000000"/>
        <rFont val="Times New Roman"/>
        <family val="1"/>
      </rPr>
      <t xml:space="preserve">
Y50/25</t>
    </r>
  </si>
  <si>
    <t>ALTCCS-2022070</t>
  </si>
  <si>
    <r>
      <rPr>
        <sz val="12"/>
        <color theme="1"/>
        <rFont val="宋体"/>
        <charset val="134"/>
      </rPr>
      <t>大变形测量装置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family val="1"/>
      </rPr>
      <t>10-800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family val="1"/>
      </rPr>
      <t>mm</t>
    </r>
  </si>
  <si>
    <t>ALTCCS-2022071</t>
  </si>
  <si>
    <r>
      <rPr>
        <sz val="12"/>
        <color theme="1"/>
        <rFont val="宋体"/>
        <charset val="134"/>
      </rPr>
      <t>钢直尺</t>
    </r>
    <r>
      <rPr>
        <sz val="12"/>
        <color theme="1"/>
        <rFont val="Times New Roman"/>
        <family val="1"/>
      </rPr>
      <t xml:space="preserve">
500mm</t>
    </r>
  </si>
  <si>
    <t>ALTCCS-2022072</t>
  </si>
  <si>
    <t>位置</t>
  </si>
  <si>
    <t>名称</t>
  </si>
  <si>
    <t>温度</t>
  </si>
  <si>
    <t>湿度</t>
  </si>
  <si>
    <t>一层</t>
  </si>
  <si>
    <t>扫描电镜试验室</t>
  </si>
  <si>
    <t>25℃</t>
  </si>
  <si>
    <t>RH50%</t>
  </si>
  <si>
    <t>工业CT试验室</t>
  </si>
  <si>
    <t>24℃</t>
  </si>
  <si>
    <t>机械性能分析室1</t>
  </si>
  <si>
    <t>23℃</t>
  </si>
  <si>
    <t>配电房</t>
  </si>
  <si>
    <t>消防阀室</t>
  </si>
  <si>
    <t>特殊试剂室</t>
  </si>
  <si>
    <t>机房1</t>
  </si>
  <si>
    <t>二层</t>
  </si>
  <si>
    <t>样品拍照室</t>
  </si>
  <si>
    <t>化学分析室</t>
  </si>
  <si>
    <t>物理分析室</t>
  </si>
  <si>
    <t>机械性能分析室2</t>
  </si>
  <si>
    <t>老化性能分析室1</t>
  </si>
  <si>
    <t>老化性能分析室2</t>
  </si>
  <si>
    <t>22℃</t>
  </si>
  <si>
    <t>腐蚀性能试验室2</t>
  </si>
  <si>
    <t>腐蚀性能试验室3</t>
  </si>
  <si>
    <t>金相制样室</t>
  </si>
  <si>
    <t>形貌观察室</t>
  </si>
  <si>
    <t>无损检测室</t>
  </si>
  <si>
    <t>机房2</t>
  </si>
  <si>
    <t>21℃</t>
  </si>
  <si>
    <t>纯水站房</t>
  </si>
  <si>
    <t>留样存储室</t>
  </si>
  <si>
    <t>备件耗材室</t>
  </si>
  <si>
    <t>档案室</t>
  </si>
  <si>
    <t>中央控制室</t>
  </si>
  <si>
    <t>会议室1</t>
  </si>
  <si>
    <t>三层</t>
  </si>
  <si>
    <t>热性能分析室</t>
  </si>
  <si>
    <t>环境友好分析室</t>
  </si>
  <si>
    <t>燃烧性能分析室</t>
  </si>
  <si>
    <t>电性能分析室</t>
  </si>
  <si>
    <t>VOC采样室2</t>
  </si>
  <si>
    <t>试剂存储室</t>
  </si>
  <si>
    <t>留样存储室2</t>
  </si>
  <si>
    <t>样品加工室</t>
  </si>
  <si>
    <t>会议室2</t>
  </si>
  <si>
    <t>会议室3</t>
  </si>
  <si>
    <t>培训室1</t>
  </si>
  <si>
    <t>培训室2</t>
  </si>
  <si>
    <t>新风机房</t>
  </si>
  <si>
    <t>气瓶间</t>
  </si>
  <si>
    <t>物料编号</t>
  </si>
  <si>
    <t>规格型号</t>
  </si>
  <si>
    <t>单位</t>
  </si>
  <si>
    <t>累计入库</t>
  </si>
  <si>
    <t>累计出库</t>
  </si>
  <si>
    <t>当前库存</t>
  </si>
  <si>
    <t>类别</t>
  </si>
  <si>
    <t>库位</t>
  </si>
  <si>
    <t>01001</t>
  </si>
  <si>
    <t>0-150℃温度计</t>
  </si>
  <si>
    <t>0-150℃</t>
  </si>
  <si>
    <t>个</t>
  </si>
  <si>
    <t>低值易耗品</t>
  </si>
  <si>
    <t>01002</t>
  </si>
  <si>
    <t>0-300℃温度计</t>
  </si>
  <si>
    <t>0-300℃</t>
  </si>
  <si>
    <t>01003</t>
  </si>
  <si>
    <t>30cm钢直尺</t>
  </si>
  <si>
    <t>30cm</t>
  </si>
  <si>
    <t>01004</t>
  </si>
  <si>
    <t>50cm钢直尺</t>
  </si>
  <si>
    <t>50cm</t>
  </si>
  <si>
    <t>01005</t>
  </si>
  <si>
    <t>电子秒表</t>
  </si>
  <si>
    <t>/</t>
  </si>
  <si>
    <t>01006</t>
  </si>
  <si>
    <t>温湿度计</t>
  </si>
  <si>
    <t>01007</t>
  </si>
  <si>
    <t>游标卡尺</t>
  </si>
  <si>
    <t>0-200mm</t>
  </si>
  <si>
    <t>01008</t>
  </si>
  <si>
    <t>钢气瓶</t>
  </si>
  <si>
    <t>40L</t>
  </si>
  <si>
    <t>01009</t>
  </si>
  <si>
    <t>丙烷气瓶</t>
  </si>
  <si>
    <t>15kg</t>
  </si>
  <si>
    <t>01010</t>
  </si>
  <si>
    <t>液化石油气罐</t>
  </si>
  <si>
    <t>5kg</t>
  </si>
  <si>
    <t>01011</t>
  </si>
  <si>
    <t>维氏硬度块</t>
  </si>
  <si>
    <t>HV1</t>
  </si>
  <si>
    <t>块</t>
  </si>
  <si>
    <t>01012</t>
  </si>
  <si>
    <t>镊子</t>
  </si>
  <si>
    <t>直头、平头、弯头</t>
  </si>
  <si>
    <t>套</t>
  </si>
  <si>
    <t>C-4-1</t>
  </si>
  <si>
    <t>01013</t>
  </si>
  <si>
    <t>重型订书机</t>
  </si>
  <si>
    <r>
      <rPr>
        <sz val="11"/>
        <color rgb="FF000000"/>
        <rFont val="宋体"/>
        <charset val="134"/>
      </rPr>
      <t>型号</t>
    </r>
    <r>
      <rPr>
        <sz val="11"/>
        <color rgb="FF000000"/>
        <rFont val="Times New Roman"/>
        <family val="1"/>
      </rPr>
      <t>0396</t>
    </r>
  </si>
  <si>
    <t>01014</t>
  </si>
  <si>
    <t>手推车</t>
  </si>
  <si>
    <t>110*65</t>
  </si>
  <si>
    <t>01015</t>
  </si>
  <si>
    <t>气瓶推车</t>
  </si>
  <si>
    <r>
      <rPr>
        <sz val="11"/>
        <color rgb="FF000000"/>
        <rFont val="宋体"/>
        <charset val="134"/>
      </rPr>
      <t>蓝色经典款普厚（</t>
    </r>
    <r>
      <rPr>
        <sz val="11"/>
        <color rgb="FF000000"/>
        <rFont val="Times New Roman"/>
        <family val="1"/>
      </rPr>
      <t>1.0</t>
    </r>
    <r>
      <rPr>
        <sz val="11"/>
        <color rgb="FF000000"/>
        <rFont val="宋体"/>
        <charset val="134"/>
      </rPr>
      <t>）</t>
    </r>
  </si>
  <si>
    <t>01016</t>
  </si>
  <si>
    <t>吹风机</t>
  </si>
  <si>
    <t>01017</t>
  </si>
  <si>
    <t>垫脚</t>
  </si>
  <si>
    <t>01018</t>
  </si>
  <si>
    <t>白板</t>
  </si>
  <si>
    <t>02001</t>
  </si>
  <si>
    <t>液压器油</t>
  </si>
  <si>
    <t>46号</t>
  </si>
  <si>
    <t>公斤</t>
  </si>
  <si>
    <t>原材料</t>
  </si>
  <si>
    <t>02002</t>
  </si>
  <si>
    <t>氩气</t>
  </si>
  <si>
    <t>02003</t>
  </si>
  <si>
    <t>氮气</t>
  </si>
  <si>
    <t>02004</t>
  </si>
  <si>
    <t>氧气</t>
  </si>
  <si>
    <t>02005</t>
  </si>
  <si>
    <t>丙烷气</t>
  </si>
  <si>
    <t>瓶</t>
  </si>
  <si>
    <t>02006</t>
  </si>
  <si>
    <t>液化石油气</t>
  </si>
  <si>
    <t>02007</t>
  </si>
  <si>
    <t>岩谷丁烷气体</t>
  </si>
  <si>
    <t>02008</t>
  </si>
  <si>
    <t>滤纸60*60cm 中速</t>
  </si>
  <si>
    <r>
      <rPr>
        <sz val="11"/>
        <color theme="1"/>
        <rFont val="等线"/>
        <charset val="134"/>
        <scheme val="minor"/>
      </rPr>
      <t xml:space="preserve">60*60cm </t>
    </r>
    <r>
      <rPr>
        <sz val="11"/>
        <color rgb="FF000000"/>
        <rFont val="宋体"/>
        <charset val="134"/>
      </rPr>
      <t>中速</t>
    </r>
  </si>
  <si>
    <t>包</t>
  </si>
  <si>
    <t>02009</t>
  </si>
  <si>
    <t>烧杯50ml</t>
  </si>
  <si>
    <t>50ml</t>
  </si>
  <si>
    <t>02010</t>
  </si>
  <si>
    <t>烧杯100ml</t>
  </si>
  <si>
    <t>100ml</t>
  </si>
  <si>
    <t>02011</t>
  </si>
  <si>
    <t>烧杯200ml</t>
  </si>
  <si>
    <t>200ml</t>
  </si>
  <si>
    <t>02012</t>
  </si>
  <si>
    <t>烧杯500ml</t>
  </si>
  <si>
    <t>500ml</t>
  </si>
  <si>
    <t>02013</t>
  </si>
  <si>
    <t>烧杯1000ml</t>
  </si>
  <si>
    <t>1000ml</t>
  </si>
  <si>
    <t>02014</t>
  </si>
  <si>
    <t>容量瓶50ml</t>
  </si>
  <si>
    <t>02015</t>
  </si>
  <si>
    <t>容量瓶100ml</t>
  </si>
  <si>
    <t>02016</t>
  </si>
  <si>
    <t>容量瓶250ml</t>
  </si>
  <si>
    <t>250ml</t>
  </si>
  <si>
    <t>02017</t>
  </si>
  <si>
    <t>容量瓶500ml</t>
  </si>
  <si>
    <t>02018</t>
  </si>
  <si>
    <t>容量瓶1000ml</t>
  </si>
  <si>
    <t>02019</t>
  </si>
  <si>
    <t>容量瓶2000ml</t>
  </si>
  <si>
    <t>2000ml</t>
  </si>
  <si>
    <t>02020</t>
  </si>
  <si>
    <t>量筒10ml</t>
  </si>
  <si>
    <t>10ml</t>
  </si>
  <si>
    <t>02021</t>
  </si>
  <si>
    <t>量筒50ml</t>
  </si>
  <si>
    <t>02022</t>
  </si>
  <si>
    <t>量筒100ml</t>
  </si>
  <si>
    <t>02023</t>
  </si>
  <si>
    <t>量筒250ml</t>
  </si>
  <si>
    <t>02024</t>
  </si>
  <si>
    <t>漏斗60mm</t>
  </si>
  <si>
    <t>60mm</t>
  </si>
  <si>
    <t>02025</t>
  </si>
  <si>
    <t>漏斗100mm</t>
  </si>
  <si>
    <t>100mm</t>
  </si>
  <si>
    <t>02026</t>
  </si>
  <si>
    <t>塑料量杯1000ml</t>
  </si>
  <si>
    <t>02027</t>
  </si>
  <si>
    <t>塑料量杯2000ml</t>
  </si>
  <si>
    <t>02028</t>
  </si>
  <si>
    <t>封口膜10cm*38m</t>
  </si>
  <si>
    <t>10cm*38m</t>
  </si>
  <si>
    <t>盒</t>
  </si>
  <si>
    <t>02029</t>
  </si>
  <si>
    <t>玻璃搅拌棒6mm*150mm</t>
  </si>
  <si>
    <t>6mm*150mm</t>
  </si>
  <si>
    <t>根</t>
  </si>
  <si>
    <t>02030</t>
  </si>
  <si>
    <t>尖嘴冲洗瓶500ml</t>
  </si>
  <si>
    <t>02031</t>
  </si>
  <si>
    <t>干燥皿300mm</t>
  </si>
  <si>
    <t>300mm</t>
  </si>
  <si>
    <t>02032</t>
  </si>
  <si>
    <t>干燥皿400mm</t>
  </si>
  <si>
    <t>400mm</t>
  </si>
  <si>
    <t>02033</t>
  </si>
  <si>
    <t>白凡士林500g</t>
  </si>
  <si>
    <t>500g</t>
  </si>
  <si>
    <t>试剂-A-8-1</t>
  </si>
  <si>
    <t>02034</t>
  </si>
  <si>
    <t>胶头滴管1ml</t>
  </si>
  <si>
    <t>1ml</t>
  </si>
  <si>
    <t>02035</t>
  </si>
  <si>
    <t>胶头滴管3ml</t>
  </si>
  <si>
    <t>3ml</t>
  </si>
  <si>
    <t>02036</t>
  </si>
  <si>
    <t>胶头滴管5ml</t>
  </si>
  <si>
    <t>5ml</t>
  </si>
  <si>
    <t>02037</t>
  </si>
  <si>
    <t>脱脂棉500g</t>
  </si>
  <si>
    <t>C-4-3</t>
  </si>
  <si>
    <t>02038</t>
  </si>
  <si>
    <t>乳胶管8*12mm/米</t>
  </si>
  <si>
    <r>
      <rPr>
        <sz val="11"/>
        <color theme="1"/>
        <rFont val="等线"/>
        <charset val="134"/>
        <scheme val="minor"/>
      </rPr>
      <t>8*12mm/</t>
    </r>
    <r>
      <rPr>
        <sz val="11"/>
        <color rgb="FF000000"/>
        <rFont val="宋体"/>
        <charset val="134"/>
      </rPr>
      <t>米</t>
    </r>
  </si>
  <si>
    <t>02039</t>
  </si>
  <si>
    <r>
      <rPr>
        <sz val="11"/>
        <color theme="1"/>
        <rFont val="等线"/>
        <charset val="134"/>
        <scheme val="minor"/>
      </rPr>
      <t>盐雾封边胶带（</t>
    </r>
    <r>
      <rPr>
        <sz val="11"/>
        <color rgb="FF000000"/>
        <rFont val="Times New Roman"/>
        <family val="1"/>
      </rPr>
      <t>3M471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等线"/>
        <charset val="134"/>
        <scheme val="minor"/>
      </rPr>
      <t>10cm*33m</t>
    </r>
  </si>
  <si>
    <t>10cm*33m</t>
  </si>
  <si>
    <t>02040</t>
  </si>
  <si>
    <t>移液管1ml</t>
  </si>
  <si>
    <t>02041</t>
  </si>
  <si>
    <t>移液管2ml</t>
  </si>
  <si>
    <t>2ml</t>
  </si>
  <si>
    <t>02042</t>
  </si>
  <si>
    <t>移液管5ml</t>
  </si>
  <si>
    <t>02043</t>
  </si>
  <si>
    <t>移液管10ml</t>
  </si>
  <si>
    <t>02044</t>
  </si>
  <si>
    <t>移液管20ml</t>
  </si>
  <si>
    <t>20ml</t>
  </si>
  <si>
    <t>02045</t>
  </si>
  <si>
    <t>移液管50ml</t>
  </si>
  <si>
    <t>02046</t>
  </si>
  <si>
    <t>大小标签纸（不干胶）26*15mm</t>
  </si>
  <si>
    <t>26*15mm</t>
  </si>
  <si>
    <t>02047</t>
  </si>
  <si>
    <t>大小标签纸（不干胶）50mm*28mm</t>
  </si>
  <si>
    <t>50mm*28mm</t>
  </si>
  <si>
    <t>02048</t>
  </si>
  <si>
    <t>变色硅胶干燥剂</t>
  </si>
  <si>
    <t>C-5-1</t>
  </si>
  <si>
    <t>02049</t>
  </si>
  <si>
    <t>氯化钠</t>
  </si>
  <si>
    <t>分析纯</t>
  </si>
  <si>
    <t>D-6-3</t>
  </si>
  <si>
    <t>02050</t>
  </si>
  <si>
    <t>乙醇</t>
  </si>
  <si>
    <t>试剂-A-8-5</t>
  </si>
  <si>
    <t>02051</t>
  </si>
  <si>
    <t>4%硝酸酒精</t>
  </si>
  <si>
    <t>02052</t>
  </si>
  <si>
    <t>10%盐酸</t>
  </si>
  <si>
    <t>02053</t>
  </si>
  <si>
    <t>氢氧化钠10%</t>
  </si>
  <si>
    <t>02054</t>
  </si>
  <si>
    <t>硫酸标准溶液0.1mol/L</t>
  </si>
  <si>
    <t>C1/2H2SO4=0.1mol/L</t>
  </si>
  <si>
    <t>02055</t>
  </si>
  <si>
    <t>碱石灰</t>
  </si>
  <si>
    <t>02056</t>
  </si>
  <si>
    <t>纯甲醇</t>
  </si>
  <si>
    <t>色谱纯</t>
  </si>
  <si>
    <t>02057</t>
  </si>
  <si>
    <t>高纯乙腈</t>
  </si>
  <si>
    <t>02058</t>
  </si>
  <si>
    <t>醛酮DNPH标准品（2,4-二硝基苯腙）</t>
  </si>
  <si>
    <t>02059</t>
  </si>
  <si>
    <t>碘化钠</t>
  </si>
  <si>
    <t>02060</t>
  </si>
  <si>
    <t>亚硝酸钠</t>
  </si>
  <si>
    <t>02061</t>
  </si>
  <si>
    <t>重铬酸钾</t>
  </si>
  <si>
    <t>基准级</t>
  </si>
  <si>
    <t>02062</t>
  </si>
  <si>
    <t>肖特试剂瓶</t>
  </si>
  <si>
    <t>1L</t>
  </si>
  <si>
    <t>02063</t>
  </si>
  <si>
    <t>镶嵌料（HM1 黑色）</t>
  </si>
  <si>
    <t>C-3-3</t>
  </si>
  <si>
    <t>02064</t>
  </si>
  <si>
    <t>通用性热镶嵌料 绿色</t>
  </si>
  <si>
    <t>1kg</t>
  </si>
  <si>
    <t>02065</t>
  </si>
  <si>
    <t>导电型热镶嵌料</t>
  </si>
  <si>
    <t>02066</t>
  </si>
  <si>
    <t>保边型热镶嵌料</t>
  </si>
  <si>
    <t>02067</t>
  </si>
  <si>
    <t>透明型热镶嵌料</t>
  </si>
  <si>
    <t>02068</t>
  </si>
  <si>
    <t>塑料镶嵌夹</t>
  </si>
  <si>
    <t>100个</t>
  </si>
  <si>
    <t>02069</t>
  </si>
  <si>
    <t>金属镶嵌夹</t>
  </si>
  <si>
    <t>02070</t>
  </si>
  <si>
    <t>4861000017 Eppendorf Xplorer 1-20ul 单道电动移液器</t>
  </si>
  <si>
    <t>1-20ul</t>
  </si>
  <si>
    <t>C-1-1</t>
  </si>
  <si>
    <t>02071</t>
  </si>
  <si>
    <t>新3123000217老3120000216 Research plus 0.1-2.5ul整支消毒单道移液器(小彩)</t>
  </si>
  <si>
    <t>0.1-2.5ul</t>
  </si>
  <si>
    <t>02072</t>
  </si>
  <si>
    <t>新3123000241老3120000240 Research plus 10-100ul整支消毒单道移液器(小彩)</t>
  </si>
  <si>
    <t>10-100ul</t>
  </si>
  <si>
    <t>02073</t>
  </si>
  <si>
    <t>新3123000268老3120000267 Research plus 100-1000ul整支消毒单道移液器(小彩）</t>
  </si>
  <si>
    <t>100-1000ul</t>
  </si>
  <si>
    <t>02074</t>
  </si>
  <si>
    <t>新3123000080老3120000089 Research PLUS 1-10ml整支消毒单道移液器(大彩)</t>
  </si>
  <si>
    <t>1-10ml</t>
  </si>
  <si>
    <t>02075</t>
  </si>
  <si>
    <t>0030000811 epTIPS 普通袋装优质级0.1-10ul普通袋装吸头无色</t>
  </si>
  <si>
    <t>2包x500个吸头/盒</t>
  </si>
  <si>
    <t>02076</t>
  </si>
  <si>
    <t>0030000870 epTIPS 普通袋装优质级2-200ul普通袋装吸头黄色</t>
  </si>
  <si>
    <t>02077</t>
  </si>
  <si>
    <t>0030000919 epTIPs 普通袋装优质级50-1000ul吸头普通袋装蓝色</t>
  </si>
  <si>
    <t>02078</t>
  </si>
  <si>
    <t>0030000765 epTIPS 普通袋装优质级0.5-10ml普通袋装吸头无色</t>
  </si>
  <si>
    <t>2包x100个吸头</t>
  </si>
  <si>
    <t>02079</t>
  </si>
  <si>
    <t>BS-10-T 10ul短白袋装吸头</t>
  </si>
  <si>
    <t>1000个/包,40包/箱</t>
  </si>
  <si>
    <t>02080</t>
  </si>
  <si>
    <t>BS-200-T 200ul黄色袋装吸头</t>
  </si>
  <si>
    <t>1000个/包,20包/箱</t>
  </si>
  <si>
    <t>02081</t>
  </si>
  <si>
    <t>BS-1000-T 1000ul蓝色袋装吸头</t>
  </si>
  <si>
    <t>500个/包,20包/箱</t>
  </si>
  <si>
    <t>02082</t>
  </si>
  <si>
    <t>BS-10000-TE 10ml袋装吸头(配艾本德 尔森 普兰德 大龙 百得)</t>
  </si>
  <si>
    <t>100个/包,20包/箱</t>
  </si>
  <si>
    <t>02083</t>
  </si>
  <si>
    <t>氯化钾</t>
  </si>
  <si>
    <t>02084</t>
  </si>
  <si>
    <t>氦气</t>
  </si>
  <si>
    <t>02085</t>
  </si>
  <si>
    <t>防锈油</t>
  </si>
  <si>
    <t>16L</t>
  </si>
  <si>
    <t>桶</t>
  </si>
  <si>
    <t>02086</t>
  </si>
  <si>
    <t>甘氨酸</t>
  </si>
  <si>
    <t>02087</t>
  </si>
  <si>
    <t>离子交换树脂交换剂</t>
  </si>
  <si>
    <t>10kg</t>
  </si>
  <si>
    <t>袋</t>
  </si>
  <si>
    <t>02088</t>
  </si>
  <si>
    <t>100mm培养皿</t>
  </si>
  <si>
    <t>02089</t>
  </si>
  <si>
    <t>75mm培养皿</t>
  </si>
  <si>
    <t>02090</t>
  </si>
  <si>
    <t>金相测试液</t>
  </si>
  <si>
    <t>02091</t>
  </si>
  <si>
    <t>50ml玻璃具塞三角烧瓶</t>
  </si>
  <si>
    <t>02092</t>
  </si>
  <si>
    <t>PH缓冲溶液9.21</t>
  </si>
  <si>
    <t>02093</t>
  </si>
  <si>
    <t>PH缓冲溶液7.00</t>
  </si>
  <si>
    <t>02094</t>
  </si>
  <si>
    <t>PH缓冲溶液4.01</t>
  </si>
  <si>
    <t>02095</t>
  </si>
  <si>
    <t>柠檬酸氢二铵</t>
  </si>
  <si>
    <t>02096</t>
  </si>
  <si>
    <t>废液桶</t>
  </si>
  <si>
    <t>20L</t>
  </si>
  <si>
    <t>02097</t>
  </si>
  <si>
    <t>废液桶托盘</t>
  </si>
  <si>
    <t>655*360*120mm</t>
  </si>
  <si>
    <t>02098</t>
  </si>
  <si>
    <t>自封袋18*26</t>
  </si>
  <si>
    <t>18*26</t>
  </si>
  <si>
    <t>02099</t>
  </si>
  <si>
    <t>自封袋12*17</t>
  </si>
  <si>
    <t>12*17</t>
  </si>
  <si>
    <t>02100</t>
  </si>
  <si>
    <t>自封袋7*10</t>
  </si>
  <si>
    <t>7*10</t>
  </si>
  <si>
    <r>
      <rPr>
        <sz val="10.5"/>
        <color theme="1"/>
        <rFont val="宋体"/>
        <charset val="134"/>
      </rPr>
      <t>序号</t>
    </r>
  </si>
  <si>
    <r>
      <rPr>
        <sz val="10.5"/>
        <color theme="1"/>
        <rFont val="宋体"/>
        <charset val="134"/>
      </rPr>
      <t>标准名称</t>
    </r>
  </si>
  <si>
    <r>
      <rPr>
        <sz val="10.5"/>
        <color theme="1"/>
        <rFont val="宋体"/>
        <charset val="134"/>
      </rPr>
      <t>标准编号</t>
    </r>
  </si>
  <si>
    <t>标准有效性</t>
  </si>
  <si>
    <t>备注</t>
  </si>
  <si>
    <r>
      <rPr>
        <sz val="10.5"/>
        <color theme="1"/>
        <rFont val="宋体"/>
        <charset val="134"/>
      </rPr>
      <t xml:space="preserve">金属显微组织检验方法 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</si>
  <si>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Calibri"/>
        <family val="2"/>
      </rPr>
      <t>GB/T 13298-2015</t>
    </r>
  </si>
  <si>
    <r>
      <t>þ</t>
    </r>
    <r>
      <rPr>
        <sz val="10.5"/>
        <color theme="1"/>
        <rFont val="宋体"/>
        <charset val="134"/>
      </rPr>
      <t xml:space="preserve">现行有效
</t>
    </r>
    <r>
      <rPr>
        <sz val="10.5"/>
        <color theme="1"/>
        <rFont val="Wingdings"/>
        <charset val="2"/>
      </rPr>
      <t>¨</t>
    </r>
    <r>
      <rPr>
        <sz val="10.5"/>
        <color theme="1"/>
        <rFont val="宋体"/>
        <charset val="134"/>
      </rPr>
      <t>作 废</t>
    </r>
  </si>
  <si>
    <r>
      <rPr>
        <sz val="10.5"/>
        <color theme="1"/>
        <rFont val="Calibri"/>
        <family val="2"/>
      </rPr>
      <t>CNAS</t>
    </r>
  </si>
  <si>
    <r>
      <rPr>
        <sz val="10.5"/>
        <color theme="1"/>
        <rFont val="宋体"/>
        <charset val="134"/>
      </rPr>
      <t>钢的游离渗碳体、珠光体和魏氏组织的评定方法</t>
    </r>
  </si>
  <si>
    <r>
      <rPr>
        <sz val="10.5"/>
        <color theme="1"/>
        <rFont val="Calibri"/>
        <family val="2"/>
      </rPr>
      <t>GB/T 13299-2022</t>
    </r>
  </si>
  <si>
    <r>
      <rPr>
        <sz val="10.5"/>
        <color theme="1"/>
        <rFont val="宋体"/>
        <charset val="134"/>
      </rPr>
      <t>灰铸铁金相检验</t>
    </r>
  </si>
  <si>
    <r>
      <rPr>
        <sz val="10.5"/>
        <color theme="1"/>
        <rFont val="Calibri"/>
        <family val="2"/>
      </rPr>
      <t>GB/T 7216-2023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</si>
  <si>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宋体"/>
        <charset val="134"/>
      </rPr>
      <t xml:space="preserve">球墨铸铁金相检验 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</si>
  <si>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Calibri"/>
        <family val="2"/>
      </rPr>
      <t>GB/T 9441-2021</t>
    </r>
  </si>
  <si>
    <r>
      <rPr>
        <sz val="10.5"/>
        <color theme="1"/>
        <rFont val="宋体"/>
        <charset val="134"/>
      </rPr>
      <t xml:space="preserve">钢中非金属夹杂物含量的测定 标准评级图显微检验法 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</si>
  <si>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Calibri"/>
        <family val="2"/>
      </rPr>
      <t>GB/T 10561-2005</t>
    </r>
  </si>
  <si>
    <r>
      <rPr>
        <sz val="10.5"/>
        <color theme="1"/>
        <rFont val="宋体"/>
        <charset val="134"/>
      </rPr>
      <t>金属平均晶粒度测定方法</t>
    </r>
  </si>
  <si>
    <r>
      <rPr>
        <sz val="10.5"/>
        <color theme="1"/>
        <rFont val="Calibri"/>
        <family val="2"/>
      </rPr>
      <t>GB/T 6394-2017</t>
    </r>
  </si>
  <si>
    <r>
      <rPr>
        <sz val="10.5"/>
        <color theme="1"/>
        <rFont val="宋体"/>
        <charset val="134"/>
      </rPr>
      <t xml:space="preserve">低碳钢冷轧薄板铁素体晶粒度测定法 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</si>
  <si>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Calibri"/>
        <family val="2"/>
      </rPr>
      <t>GB/T 4335-2013</t>
    </r>
  </si>
  <si>
    <r>
      <rPr>
        <sz val="10.5"/>
        <color theme="1"/>
        <rFont val="宋体"/>
        <charset val="134"/>
      </rPr>
      <t>金属材料焊缝破坏性试验 焊缝宏观和微观检验</t>
    </r>
  </si>
  <si>
    <r>
      <rPr>
        <sz val="10.5"/>
        <color theme="1"/>
        <rFont val="Calibri"/>
        <family val="2"/>
      </rPr>
      <t>GB/T 26955-2011</t>
    </r>
  </si>
  <si>
    <r>
      <rPr>
        <sz val="10.5"/>
        <color theme="1"/>
        <rFont val="宋体"/>
        <charset val="134"/>
      </rPr>
      <t>钢铁零件渗氮层深度测定和金相组织检验</t>
    </r>
  </si>
  <si>
    <r>
      <rPr>
        <sz val="10.5"/>
        <color theme="1"/>
        <rFont val="Calibri"/>
        <family val="2"/>
      </rPr>
      <t>GB/T 11354-2005</t>
    </r>
  </si>
  <si>
    <r>
      <rPr>
        <sz val="10.5"/>
        <color theme="1"/>
        <rFont val="宋体"/>
        <charset val="134"/>
      </rPr>
      <t>钢的脱碳层深度测定法</t>
    </r>
  </si>
  <si>
    <r>
      <rPr>
        <sz val="10.5"/>
        <color theme="1"/>
        <rFont val="Calibri"/>
        <family val="2"/>
      </rPr>
      <t>GB/T 224-2019</t>
    </r>
  </si>
  <si>
    <r>
      <rPr>
        <sz val="10.5"/>
        <color theme="1"/>
        <rFont val="宋体"/>
        <charset val="134"/>
      </rPr>
      <t>钢件渗碳淬火硬化层深度的测定和校核</t>
    </r>
  </si>
  <si>
    <r>
      <rPr>
        <sz val="10.5"/>
        <color theme="1"/>
        <rFont val="Calibri"/>
        <family val="2"/>
      </rPr>
      <t>GB/T 9450-2005</t>
    </r>
  </si>
  <si>
    <r>
      <rPr>
        <sz val="10.5"/>
        <color theme="1"/>
        <rFont val="宋体"/>
        <charset val="134"/>
      </rPr>
      <t>金属材料 布氏硬度试验 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>部分：试验方法</t>
    </r>
  </si>
  <si>
    <r>
      <rPr>
        <sz val="10.5"/>
        <color theme="1"/>
        <rFont val="Calibri"/>
        <family val="2"/>
      </rPr>
      <t>GB/T 231.1-2018</t>
    </r>
  </si>
  <si>
    <r>
      <rPr>
        <sz val="10.5"/>
        <color theme="1"/>
        <rFont val="宋体"/>
        <charset val="134"/>
      </rPr>
      <t>金属材料 维氏硬度试验 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 xml:space="preserve">部分：试验方法 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</si>
  <si>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Calibri"/>
        <family val="2"/>
      </rPr>
      <t>GB/T 4340.1-2009</t>
    </r>
  </si>
  <si>
    <r>
      <rPr>
        <sz val="10.5"/>
        <color theme="1"/>
        <rFont val="宋体"/>
        <charset val="134"/>
      </rPr>
      <t>金属材料焊缝破坏性试验 焊接接头显微硬度试验</t>
    </r>
  </si>
  <si>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Calibri"/>
        <family val="2"/>
      </rPr>
      <t>GB/T 27552-2021</t>
    </r>
  </si>
  <si>
    <r>
      <rPr>
        <sz val="10.5"/>
        <color theme="1"/>
        <rFont val="宋体"/>
        <charset val="134"/>
      </rPr>
      <t>金属材料 洛氏硬度试验 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 xml:space="preserve">部分：试验方法 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</si>
  <si>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Calibri"/>
        <family val="2"/>
      </rPr>
      <t>GB/T 230.1-2018</t>
    </r>
  </si>
  <si>
    <r>
      <rPr>
        <sz val="10.5"/>
        <color theme="1"/>
        <rFont val="宋体"/>
        <charset val="134"/>
      </rPr>
      <t>金属材料 拉伸试验 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 xml:space="preserve">部分：室温试验方法 </t>
    </r>
    <r>
      <rPr>
        <sz val="10.5"/>
        <color theme="1"/>
        <rFont val="Calibri"/>
        <family val="2"/>
      </rPr>
      <t xml:space="preserve"> </t>
    </r>
  </si>
  <si>
    <r>
      <rPr>
        <sz val="10.5"/>
        <color theme="1"/>
        <rFont val="Calibri"/>
        <family val="2"/>
      </rPr>
      <t>GB/T 228.1-2021</t>
    </r>
  </si>
  <si>
    <r>
      <rPr>
        <sz val="10.5"/>
        <color theme="1"/>
        <rFont val="宋体"/>
        <charset val="134"/>
      </rPr>
      <t>金属材料 弯曲试验方法</t>
    </r>
  </si>
  <si>
    <r>
      <rPr>
        <sz val="10.5"/>
        <color theme="1"/>
        <rFont val="Calibri"/>
        <family val="2"/>
      </rPr>
      <t>GB/T 232-2010</t>
    </r>
  </si>
  <si>
    <r>
      <rPr>
        <sz val="10.5"/>
        <color theme="1"/>
        <rFont val="宋体"/>
        <charset val="134"/>
      </rPr>
      <t>人造气氛腐蚀试验 盐雾试验</t>
    </r>
  </si>
  <si>
    <r>
      <rPr>
        <sz val="10.5"/>
        <color theme="1"/>
        <rFont val="Calibri"/>
        <family val="2"/>
      </rPr>
      <t>GB/T 10125-2021/ ISO 9227:2017</t>
    </r>
  </si>
  <si>
    <r>
      <rPr>
        <sz val="10.5"/>
        <color theme="1"/>
        <rFont val="宋体"/>
        <charset val="134"/>
      </rPr>
      <t>碳素钢和中低合金钢 多元素含量的测定 火花放电原子发射光谱法（常规法）</t>
    </r>
  </si>
  <si>
    <r>
      <rPr>
        <sz val="10.5"/>
        <color theme="1"/>
        <rFont val="Calibri"/>
        <family val="2"/>
      </rPr>
      <t>GB/T 4336-2016</t>
    </r>
  </si>
  <si>
    <r>
      <rPr>
        <sz val="10.5"/>
        <color theme="1"/>
        <rFont val="宋体"/>
        <charset val="134"/>
      </rPr>
      <t>不锈钢 多元素含量的测定 火花放电原子发射光谱法（常规法）</t>
    </r>
  </si>
  <si>
    <r>
      <rPr>
        <sz val="10.5"/>
        <color theme="1"/>
        <rFont val="Calibri"/>
        <family val="2"/>
      </rPr>
      <t>GB/T11170-2008</t>
    </r>
  </si>
  <si>
    <r>
      <rPr>
        <sz val="10.5"/>
        <color theme="1"/>
        <rFont val="宋体"/>
        <charset val="134"/>
      </rPr>
      <t>铝及铝合金光电直读发射光谱分析方法</t>
    </r>
  </si>
  <si>
    <r>
      <rPr>
        <sz val="10.5"/>
        <color theme="1"/>
        <rFont val="Calibri"/>
        <family val="2"/>
      </rPr>
      <t>GB/T 7999-2015</t>
    </r>
  </si>
  <si>
    <r>
      <rPr>
        <sz val="10.5"/>
        <color theme="1"/>
        <rFont val="宋体"/>
        <charset val="134"/>
      </rPr>
      <t xml:space="preserve">镁及镁合金化学分析方法 第 </t>
    </r>
    <r>
      <rPr>
        <sz val="10.5"/>
        <color theme="1"/>
        <rFont val="Calibri"/>
        <family val="2"/>
      </rPr>
      <t xml:space="preserve">21 </t>
    </r>
    <r>
      <rPr>
        <sz val="10.5"/>
        <color theme="1"/>
        <rFont val="宋体"/>
        <charset val="134"/>
      </rPr>
      <t>部分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charset val="134"/>
      </rPr>
      <t>光电直读原子发射光谱分析方法测定元素含量</t>
    </r>
  </si>
  <si>
    <r>
      <rPr>
        <sz val="10.5"/>
        <color theme="1"/>
        <rFont val="Calibri"/>
        <family val="2"/>
      </rPr>
      <t>GB/T 13748.21-2009</t>
    </r>
  </si>
  <si>
    <r>
      <rPr>
        <sz val="10.5"/>
        <color theme="1"/>
        <rFont val="宋体"/>
        <charset val="134"/>
      </rPr>
      <t>塑料 拉伸性能的测定 第</t>
    </r>
    <r>
      <rPr>
        <sz val="10.5"/>
        <color theme="1"/>
        <rFont val="Calibri"/>
        <family val="2"/>
      </rPr>
      <t xml:space="preserve">1 </t>
    </r>
    <r>
      <rPr>
        <sz val="10.5"/>
        <color theme="1"/>
        <rFont val="宋体"/>
        <charset val="134"/>
      </rPr>
      <t>部分：总则</t>
    </r>
  </si>
  <si>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Calibri"/>
        <family val="2"/>
      </rPr>
      <t>GB/T 1040.1-2018/ISO 527-1</t>
    </r>
    <r>
      <rPr>
        <sz val="10.5"/>
        <color theme="1"/>
        <rFont val="宋体"/>
        <charset val="134"/>
      </rPr>
      <t>：</t>
    </r>
    <r>
      <rPr>
        <sz val="10.5"/>
        <color theme="1"/>
        <rFont val="Calibri"/>
        <family val="2"/>
      </rPr>
      <t>2012</t>
    </r>
  </si>
  <si>
    <r>
      <rPr>
        <sz val="10.5"/>
        <color theme="1"/>
        <rFont val="宋体"/>
        <charset val="134"/>
      </rPr>
      <t>塑料 拉伸性能的测定 第</t>
    </r>
    <r>
      <rPr>
        <sz val="10.5"/>
        <color theme="1"/>
        <rFont val="Calibri"/>
        <family val="2"/>
      </rPr>
      <t xml:space="preserve">2 </t>
    </r>
    <r>
      <rPr>
        <sz val="10.5"/>
        <color theme="1"/>
        <rFont val="宋体"/>
        <charset val="134"/>
      </rPr>
      <t>部分：模塑和挤塑塑料的试验条件</t>
    </r>
  </si>
  <si>
    <t>GB/T 1040.2-2022/ISO 527-2:2012</t>
  </si>
  <si>
    <r>
      <rPr>
        <sz val="10.5"/>
        <color theme="1"/>
        <rFont val="宋体"/>
        <charset val="134"/>
      </rPr>
      <t>硫化橡胶或热塑性橡胶 拉伸应力应变性能的测定</t>
    </r>
  </si>
  <si>
    <r>
      <rPr>
        <sz val="10.5"/>
        <color theme="1"/>
        <rFont val="Calibri"/>
        <family val="2"/>
      </rPr>
      <t>GB/T 528-2009/ISO37:2005</t>
    </r>
  </si>
  <si>
    <r>
      <rPr>
        <sz val="10.5"/>
        <color theme="1"/>
        <rFont val="宋体"/>
        <charset val="134"/>
      </rPr>
      <t>塑料 弯曲性能的测定</t>
    </r>
  </si>
  <si>
    <r>
      <rPr>
        <sz val="10.5"/>
        <color theme="1"/>
        <rFont val="Calibri"/>
        <family val="2"/>
      </rPr>
      <t>GB/T 9341-2008/ISO 178:2001</t>
    </r>
  </si>
  <si>
    <t>塑料　悬臂梁冲击强度的测定
《塑料 简支梁冲击性能的测定 第 1 部分：非仪器化冲击试验硬质塑料简支梁冲击试验方法》</t>
  </si>
  <si>
    <r>
      <rPr>
        <sz val="10.5"/>
        <color theme="1"/>
        <rFont val="Calibri"/>
        <family val="2"/>
      </rPr>
      <t>GB/T 1843-2008</t>
    </r>
    <r>
      <rPr>
        <sz val="10.5"/>
        <color theme="1"/>
        <rFont val="宋体"/>
        <charset val="134"/>
      </rPr>
      <t>，</t>
    </r>
    <r>
      <rPr>
        <sz val="10.5"/>
        <color theme="1"/>
        <rFont val="Calibri"/>
        <family val="2"/>
      </rPr>
      <t>GB/T 1043.1 2008</t>
    </r>
  </si>
  <si>
    <r>
      <rPr>
        <sz val="10.5"/>
        <color theme="1"/>
        <rFont val="宋体"/>
        <charset val="134"/>
      </rPr>
      <t>塑料 负荷变形温度的测定 第</t>
    </r>
    <r>
      <rPr>
        <sz val="10.5"/>
        <color theme="1"/>
        <rFont val="Calibri"/>
        <family val="2"/>
      </rPr>
      <t xml:space="preserve">1 </t>
    </r>
    <r>
      <rPr>
        <sz val="10.5"/>
        <color theme="1"/>
        <rFont val="宋体"/>
        <charset val="134"/>
      </rPr>
      <t>部分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charset val="134"/>
      </rPr>
      <t>通用试验方法</t>
    </r>
  </si>
  <si>
    <r>
      <rPr>
        <sz val="10.5"/>
        <color theme="1"/>
        <rFont val="Calibri"/>
        <family val="2"/>
      </rPr>
      <t>GB/T 1634.1-2019/ISO 75-1:2013</t>
    </r>
  </si>
  <si>
    <r>
      <rPr>
        <sz val="10.5"/>
        <color theme="1"/>
        <rFont val="宋体"/>
        <charset val="134"/>
      </rPr>
      <t>塑料 负荷变形温度的测定 第</t>
    </r>
    <r>
      <rPr>
        <sz val="10.5"/>
        <color theme="1"/>
        <rFont val="Calibri"/>
        <family val="2"/>
      </rPr>
      <t xml:space="preserve">2 </t>
    </r>
    <r>
      <rPr>
        <sz val="10.5"/>
        <color theme="1"/>
        <rFont val="宋体"/>
        <charset val="134"/>
      </rPr>
      <t>部分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charset val="134"/>
      </rPr>
      <t>塑料、硬橡胶和长纤维增强复合材料</t>
    </r>
  </si>
  <si>
    <r>
      <rPr>
        <sz val="10.5"/>
        <color theme="1"/>
        <rFont val="Calibri"/>
        <family val="2"/>
      </rPr>
      <t>GB/T 1634.2-2019/ISO 75-2:2013</t>
    </r>
  </si>
  <si>
    <r>
      <rPr>
        <sz val="10.5"/>
        <color theme="1"/>
        <rFont val="宋体"/>
        <charset val="134"/>
      </rPr>
      <t>塑料 负荷变形温度的测定 第</t>
    </r>
    <r>
      <rPr>
        <sz val="10.5"/>
        <color theme="1"/>
        <rFont val="Calibri"/>
        <family val="2"/>
      </rPr>
      <t xml:space="preserve">3 </t>
    </r>
    <r>
      <rPr>
        <sz val="10.5"/>
        <color theme="1"/>
        <rFont val="宋体"/>
        <charset val="134"/>
      </rPr>
      <t>部分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charset val="134"/>
      </rPr>
      <t>高强度热固性层压材料</t>
    </r>
  </si>
  <si>
    <r>
      <rPr>
        <sz val="10.5"/>
        <color theme="1"/>
        <rFont val="Calibri"/>
        <family val="2"/>
      </rPr>
      <t>GB/T1634.3-2004/ISO 75-3:2003</t>
    </r>
  </si>
  <si>
    <r>
      <rPr>
        <sz val="10.5"/>
        <color theme="1"/>
        <rFont val="宋体"/>
        <charset val="134"/>
      </rPr>
      <t>热塑性塑料维卡软化温度</t>
    </r>
    <r>
      <rPr>
        <sz val="10.5"/>
        <color theme="1"/>
        <rFont val="Calibri"/>
        <family val="2"/>
      </rPr>
      <t>(VST)</t>
    </r>
    <r>
      <rPr>
        <sz val="10.5"/>
        <color theme="1"/>
        <rFont val="宋体"/>
        <charset val="134"/>
      </rPr>
      <t>的测定</t>
    </r>
  </si>
  <si>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Calibri"/>
        <family val="2"/>
      </rPr>
      <t>GB/T 1633-2000/ISO 306:1994</t>
    </r>
  </si>
  <si>
    <r>
      <rPr>
        <sz val="10.5"/>
        <color theme="1"/>
        <rFont val="宋体"/>
        <charset val="134"/>
      </rPr>
      <t>硫化橡胶或热塑性橡胶撕裂强度的测定（裤形、直角形和新月形试样）</t>
    </r>
  </si>
  <si>
    <r>
      <rPr>
        <sz val="10.5"/>
        <color theme="1"/>
        <rFont val="Calibri"/>
        <family val="2"/>
      </rPr>
      <t>GB/T 529-2008</t>
    </r>
  </si>
  <si>
    <r>
      <rPr>
        <sz val="10.5"/>
        <color theme="1"/>
        <rFont val="宋体"/>
        <charset val="134"/>
      </rPr>
      <t>塑料 热塑性塑料熔体质量流动速率</t>
    </r>
    <r>
      <rPr>
        <sz val="10.5"/>
        <color theme="1"/>
        <rFont val="Calibri"/>
        <family val="2"/>
      </rPr>
      <t>(MFR)</t>
    </r>
    <r>
      <rPr>
        <sz val="10.5"/>
        <color theme="1"/>
        <rFont val="宋体"/>
        <charset val="134"/>
      </rPr>
      <t>和熔体体积流动速率</t>
    </r>
    <r>
      <rPr>
        <sz val="10.5"/>
        <color theme="1"/>
        <rFont val="Calibri"/>
        <family val="2"/>
      </rPr>
      <t>(MVR)</t>
    </r>
    <r>
      <rPr>
        <sz val="10.5"/>
        <color theme="1"/>
        <rFont val="宋体"/>
        <charset val="134"/>
      </rPr>
      <t>的测定 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charset val="134"/>
      </rPr>
      <t>部分：标准方法</t>
    </r>
  </si>
  <si>
    <r>
      <rPr>
        <sz val="10.5"/>
        <color theme="1"/>
        <rFont val="Calibri"/>
        <family val="2"/>
      </rPr>
      <t>GB/T 3682.1-2018</t>
    </r>
  </si>
  <si>
    <r>
      <rPr>
        <sz val="10.5"/>
        <color theme="1"/>
        <rFont val="宋体"/>
        <charset val="134"/>
      </rPr>
      <t>塑料燃烧性能的测定 水平法和垂直法</t>
    </r>
  </si>
  <si>
    <r>
      <rPr>
        <sz val="10.5"/>
        <color theme="1"/>
        <rFont val="Calibri"/>
        <family val="2"/>
      </rPr>
      <t>GB/T 2408-2021</t>
    </r>
  </si>
  <si>
    <r>
      <rPr>
        <sz val="10.5"/>
        <color theme="1"/>
        <rFont val="宋体"/>
        <charset val="134"/>
      </rPr>
      <t>汽车内饰材料的燃烧特性</t>
    </r>
  </si>
  <si>
    <r>
      <rPr>
        <sz val="10.5"/>
        <color theme="1"/>
        <rFont val="Calibri"/>
        <family val="2"/>
      </rPr>
      <t>GB 8410-2006</t>
    </r>
  </si>
  <si>
    <t>序号</t>
  </si>
  <si>
    <t>委托编号</t>
  </si>
  <si>
    <t>检测报告编号</t>
  </si>
  <si>
    <t>送样时间</t>
  </si>
  <si>
    <t>试验时间</t>
  </si>
  <si>
    <t>样件名称</t>
  </si>
  <si>
    <t>试验项目</t>
  </si>
  <si>
    <t>跟单人</t>
  </si>
  <si>
    <t>w-2022-ALTC-TC-001</t>
  </si>
  <si>
    <t>22.11.08</t>
  </si>
  <si>
    <t>22.11.09</t>
  </si>
  <si>
    <t>热轧板</t>
  </si>
  <si>
    <t>金属拉伸、弯曲</t>
  </si>
  <si>
    <t>吴凡</t>
  </si>
  <si>
    <t>w-2022-ALTC-TC-002</t>
  </si>
  <si>
    <t>22.11.21</t>
  </si>
  <si>
    <t>22.11.22</t>
  </si>
  <si>
    <t>聚丙烯</t>
  </si>
  <si>
    <t>塑料机械、热性能的测定
塑料拉伸、弯曲、冲击、负荷变形温度、维卡软化温度、熔体体流动速率</t>
  </si>
  <si>
    <t>w-2022-ALTC-TC-003</t>
  </si>
  <si>
    <t>22.11.28</t>
  </si>
  <si>
    <t>22.11.29</t>
  </si>
  <si>
    <t>橡胶</t>
  </si>
  <si>
    <t>橡胶拉伸、撕裂</t>
  </si>
  <si>
    <t>w-2022-ALTC-TC-004</t>
  </si>
  <si>
    <t>22.12.06</t>
  </si>
  <si>
    <t>22.12.07</t>
  </si>
  <si>
    <t>w-2022-ALTC-TC-005</t>
  </si>
  <si>
    <t>22.12.13</t>
  </si>
  <si>
    <t>22.12.14</t>
  </si>
  <si>
    <t>w-2022-ALTC-TC-006</t>
  </si>
  <si>
    <t>22.12.19</t>
  </si>
  <si>
    <t>22.12.20</t>
  </si>
  <si>
    <t>w-2023-ALTC-TC-001</t>
  </si>
  <si>
    <t>23.1.04</t>
  </si>
  <si>
    <t>23.1.05</t>
  </si>
  <si>
    <t>w-2023-ALTC-TC-002</t>
  </si>
  <si>
    <t>23.1.09</t>
  </si>
  <si>
    <t>23.1.10</t>
  </si>
  <si>
    <t>w-2023-ALTC-TC-003</t>
  </si>
  <si>
    <t>23.1.11</t>
  </si>
  <si>
    <t>23.1.12</t>
  </si>
  <si>
    <t>w-2023-ALTC-TC-004</t>
  </si>
  <si>
    <t>23.2.06</t>
  </si>
  <si>
    <t>23.2.07</t>
  </si>
  <si>
    <t>w-2023-ALTC-TC-005</t>
  </si>
  <si>
    <t>23.2.13</t>
  </si>
  <si>
    <t>23.2.14</t>
  </si>
  <si>
    <t>w-2023-ALTC-TC-006</t>
  </si>
  <si>
    <t>23.2.20</t>
  </si>
  <si>
    <t>23.2.21</t>
  </si>
  <si>
    <t>w-2023-ALTC-TC-007</t>
  </si>
  <si>
    <t>23.3.07</t>
  </si>
  <si>
    <t>23.3.08</t>
  </si>
  <si>
    <t>w-2023-ALTC-TC-008</t>
  </si>
  <si>
    <t>23.3.13</t>
  </si>
  <si>
    <t>23.3.14</t>
  </si>
  <si>
    <t>w-2023-ALTC-TC-009</t>
  </si>
  <si>
    <t>23.3.22</t>
  </si>
  <si>
    <t>23.3.23</t>
  </si>
  <si>
    <t>w-2023-ALTC-TC-010</t>
  </si>
  <si>
    <t>23.4.07</t>
  </si>
  <si>
    <t>23.4.10</t>
  </si>
  <si>
    <t>挡泥板支架总成圆管</t>
  </si>
  <si>
    <t>金相组织珠光体组织评定</t>
  </si>
  <si>
    <t>张鑫明</t>
  </si>
  <si>
    <t>w-2023-ALTC-TC-011</t>
  </si>
  <si>
    <t>23.4.11</t>
  </si>
  <si>
    <t>w-2023-ALTC-TC-012</t>
  </si>
  <si>
    <t>座椅头枕杆</t>
  </si>
  <si>
    <t>中性盐雾</t>
  </si>
  <si>
    <t>刘丽愉</t>
  </si>
  <si>
    <t>w-2023-ALTC-TC-013</t>
  </si>
  <si>
    <t>制动鼓、竞品</t>
  </si>
  <si>
    <t>金相组织、硬度</t>
  </si>
  <si>
    <t>w-2023-ALTC-TC-014</t>
  </si>
  <si>
    <t>23.4.12</t>
  </si>
  <si>
    <t>w-2023-ALTC-TC-015</t>
  </si>
  <si>
    <t>23.4.13</t>
  </si>
  <si>
    <t>传动轴管与平衡块焊接接头</t>
  </si>
  <si>
    <t>焊接接头检测、显微硬度测试</t>
  </si>
  <si>
    <t>w-2023-ALTC-TC-016</t>
  </si>
  <si>
    <t>23.4.14</t>
  </si>
  <si>
    <t>23.4.17</t>
  </si>
  <si>
    <t>发动机气门弹簧钢丝、发动机齿轮</t>
  </si>
  <si>
    <t>金相检测、渗氮层深度检测、硬度检测</t>
  </si>
  <si>
    <t>w-2023-ALTC-TC-017</t>
  </si>
  <si>
    <t>23.4.18</t>
  </si>
  <si>
    <t xml:space="preserve"> </t>
  </si>
  <si>
    <t>23.4.19</t>
  </si>
  <si>
    <t>横向稳定杆</t>
  </si>
  <si>
    <t>脱碳层深度、化学成分、洛氏硬度</t>
  </si>
  <si>
    <t>w-2023-ALTC-TC-019</t>
  </si>
  <si>
    <t>23.4.20</t>
  </si>
  <si>
    <t>塑料燃烧性能
水平燃烧、垂直燃烧、内饰燃烧</t>
  </si>
  <si>
    <t>w-2023-ALTC-TC-020</t>
  </si>
  <si>
    <t>23.4.21</t>
  </si>
  <si>
    <t>23.4.24</t>
  </si>
  <si>
    <t>后处理器壳体</t>
  </si>
  <si>
    <t>化学成分</t>
  </si>
  <si>
    <t>w-2023-ALTC-TC-021</t>
  </si>
  <si>
    <t>23.4.25</t>
  </si>
  <si>
    <t>23.4.27</t>
  </si>
  <si>
    <t>进气接管</t>
  </si>
  <si>
    <t>w-2023-ALTC-TC-022</t>
  </si>
  <si>
    <t>23.4.26</t>
  </si>
  <si>
    <t>挡泥板支架</t>
  </si>
  <si>
    <t>w-2023-ALTC-TC-023</t>
  </si>
  <si>
    <t>高压油管</t>
  </si>
  <si>
    <t>金相组织</t>
  </si>
  <si>
    <t>w-2023-ALTC-TC-024</t>
  </si>
  <si>
    <t>23.4.28</t>
  </si>
  <si>
    <t>油箱箍带</t>
  </si>
  <si>
    <t>w-2023-ALTC-TC-025</t>
  </si>
  <si>
    <t>23.5.4</t>
  </si>
  <si>
    <t>23.5.8</t>
  </si>
  <si>
    <t>差动阀支架</t>
  </si>
  <si>
    <t>w-2023-ALTC-TC-026</t>
  </si>
  <si>
    <t>23.5.5</t>
  </si>
  <si>
    <t>气室支架</t>
  </si>
  <si>
    <t>w-2023-ALTC-TC-027</t>
  </si>
  <si>
    <t>调温器壳体</t>
  </si>
  <si>
    <t>w-2023-ALTC-TC-028</t>
  </si>
  <si>
    <t>23.5.9</t>
  </si>
  <si>
    <t>空气钢管支架</t>
  </si>
  <si>
    <t>w-2023-ALTC-TC-029</t>
  </si>
  <si>
    <t>w-2023-ALTC-TC-030</t>
  </si>
  <si>
    <t>空气钢管</t>
  </si>
  <si>
    <t>w-2023-ALTC-TC-031</t>
  </si>
  <si>
    <t>23.5.10</t>
  </si>
  <si>
    <t>23.5.11</t>
  </si>
  <si>
    <t>渗氮导板</t>
  </si>
  <si>
    <t>渗氮层深度检测</t>
  </si>
  <si>
    <t>w-2023-ALTC-TC-032</t>
  </si>
  <si>
    <t>23.5.12</t>
  </si>
  <si>
    <t>挡泥板侧标志灯支架</t>
  </si>
  <si>
    <t>w-2023-ALTC-TC-033</t>
  </si>
  <si>
    <t>23.5.13</t>
  </si>
  <si>
    <t>储气筒焊接接头</t>
  </si>
  <si>
    <t>w-2023-ALTC-TC-034</t>
  </si>
  <si>
    <t>23.5.15</t>
  </si>
  <si>
    <t>23.5.16</t>
  </si>
  <si>
    <t>制动鼓</t>
  </si>
  <si>
    <t>w-2023-ALTC-TC-035</t>
  </si>
  <si>
    <t>w-2023-ALTC-TC-036</t>
  </si>
  <si>
    <t>23.7.4</t>
  </si>
  <si>
    <t>穿戴式机器臂目标识别追踪传感系统</t>
  </si>
  <si>
    <t>w-2023-ALTC-TC-037</t>
  </si>
  <si>
    <t>穿戴式机械臂目标识别与自主追踪算法</t>
  </si>
  <si>
    <t>w-2023-ALTC-TC-038</t>
  </si>
  <si>
    <t>穿戴式机械臂随动跟踪锁定及分系统</t>
  </si>
  <si>
    <t>w-2023-ALTC-TC-039</t>
  </si>
  <si>
    <t>23.5.17</t>
  </si>
  <si>
    <t>钢板弹簧</t>
  </si>
  <si>
    <t>化学成分、洛氏硬度</t>
  </si>
  <si>
    <t>w-2023-ALTC-TC-040</t>
  </si>
  <si>
    <t>23.5.18</t>
  </si>
  <si>
    <t>23.5.19</t>
  </si>
  <si>
    <t>天窗弹簧卡子弹片</t>
  </si>
  <si>
    <t>脱碳层深度</t>
  </si>
  <si>
    <t>w-2023-ALTC-TC-041</t>
  </si>
  <si>
    <t>23.5.22</t>
  </si>
  <si>
    <t>齿轮</t>
  </si>
  <si>
    <t>渗碳淬火硬化层深度检测</t>
  </si>
  <si>
    <t>w-2023-ALTC-TC-042</t>
  </si>
  <si>
    <t>23.5.23</t>
  </si>
  <si>
    <t>曲轴</t>
  </si>
  <si>
    <t>w-2023-ALTC-TC-043</t>
  </si>
  <si>
    <t>23.5.24</t>
  </si>
  <si>
    <t>w-2023-ALTC-TC-044</t>
  </si>
  <si>
    <t>23.5.25</t>
  </si>
  <si>
    <t>保险杠支架</t>
  </si>
  <si>
    <t>w-2023-ALTC-TC-045</t>
  </si>
  <si>
    <t>23.5.26</t>
  </si>
  <si>
    <t>23.5.29</t>
  </si>
  <si>
    <t>聚丙烯（燃烧）</t>
  </si>
  <si>
    <t>汽车内饰燃烧、垂直燃烧</t>
  </si>
  <si>
    <t>w-2023-ALTC-TC-046</t>
  </si>
  <si>
    <t>23.5.30</t>
  </si>
  <si>
    <t>室温拉伸比对设备比对（5月）没出报告</t>
  </si>
  <si>
    <t>w-2023-ALTC-TC-047</t>
  </si>
  <si>
    <t>23.6.2</t>
  </si>
  <si>
    <t>23.6.3</t>
  </si>
  <si>
    <t>w-2023-ALTC-TC-048</t>
  </si>
  <si>
    <t>23.6.6</t>
  </si>
  <si>
    <t>23.6.7</t>
  </si>
  <si>
    <t>雨刮连杆</t>
  </si>
  <si>
    <t>金相组织、化学成分</t>
  </si>
  <si>
    <t>w-2023-ALTC-TC-049</t>
  </si>
  <si>
    <t>23.6.12</t>
  </si>
  <si>
    <t>23.6.13</t>
  </si>
  <si>
    <t>w-2023-ALTC-TC-050</t>
  </si>
  <si>
    <t>23.6.19</t>
  </si>
  <si>
    <t>23.6.20</t>
  </si>
  <si>
    <t>聚丙烯塑料</t>
  </si>
  <si>
    <t>塑料拉伸、熔体</t>
  </si>
  <si>
    <t>w-2023-ALTC-TC-051</t>
  </si>
  <si>
    <t>23.6.21</t>
  </si>
  <si>
    <t>半轴</t>
  </si>
  <si>
    <t>w-2023-ALTC-TC-052</t>
  </si>
  <si>
    <t>23.6.22</t>
  </si>
  <si>
    <t>23.6.23</t>
  </si>
  <si>
    <t>热变形温度留样再测（6月）没出报告</t>
  </si>
  <si>
    <t>w-2023-ALTC-TC-053</t>
  </si>
  <si>
    <t>23.6.25</t>
  </si>
  <si>
    <t>23.6.26</t>
  </si>
  <si>
    <t>惰齿轮</t>
  </si>
  <si>
    <t>渗碳淬火硬化层深度测定</t>
  </si>
  <si>
    <t>w-2023-ALTC-TC-054</t>
  </si>
  <si>
    <t>橡胶拉伸</t>
  </si>
  <si>
    <t>w-2023-ALTC-TC-055</t>
  </si>
  <si>
    <t>2023.6.26</t>
  </si>
  <si>
    <t>2023.6.27</t>
  </si>
  <si>
    <t>转向节</t>
  </si>
  <si>
    <t>w-2023-ALTC-TC-056</t>
  </si>
  <si>
    <t>23.6.30</t>
  </si>
  <si>
    <t>23.7.3</t>
  </si>
  <si>
    <t>铝合金油箱</t>
  </si>
  <si>
    <t>w-2023-ALTC-TC-057</t>
  </si>
  <si>
    <t>塑料燃烧性能</t>
  </si>
  <si>
    <t>姜艺玺</t>
  </si>
  <si>
    <t>w-2023-ALTC-TC-058</t>
  </si>
  <si>
    <t>储气筒箍带</t>
  </si>
  <si>
    <t>w-2023-ALTC-TC-059</t>
  </si>
  <si>
    <t>储气筒筒壁焊接接头</t>
  </si>
  <si>
    <t>焊接接头宏观、微观检测</t>
  </si>
  <si>
    <t>w-2023-ALTC-TC-060</t>
  </si>
  <si>
    <t>23.7.7</t>
  </si>
  <si>
    <t>23.7.10</t>
  </si>
  <si>
    <t>w-2023-ALTC-TC-061</t>
  </si>
  <si>
    <t>23.7.11</t>
  </si>
  <si>
    <t>23.7.12</t>
  </si>
  <si>
    <t>铸铁试棒</t>
  </si>
  <si>
    <t>w-2023-ALTC-TC-062</t>
  </si>
  <si>
    <t>23.7.14</t>
  </si>
  <si>
    <t>23.7.17</t>
  </si>
  <si>
    <t>消音器（方盒）</t>
  </si>
  <si>
    <t>w-2023-ALTC-TC-063</t>
  </si>
  <si>
    <t>23.7.18</t>
  </si>
  <si>
    <t>w-2023-ALTC-TC-064</t>
  </si>
  <si>
    <t>23.7.19</t>
  </si>
  <si>
    <t>23.7.20</t>
  </si>
  <si>
    <t>布氏硬度（7月标准物质验证）不出</t>
  </si>
  <si>
    <t>w-2023-ALTC-TC-065</t>
  </si>
  <si>
    <t>23.7.24</t>
  </si>
  <si>
    <t>23.7.25</t>
  </si>
  <si>
    <t>w-2023-ALTC-TC-066</t>
  </si>
  <si>
    <t>23.7.27</t>
  </si>
  <si>
    <t>23.7.28</t>
  </si>
  <si>
    <t>气门导管</t>
  </si>
  <si>
    <t>金相组织、渗氮层深</t>
  </si>
  <si>
    <t>w-2023-ALTC-TC-067</t>
  </si>
  <si>
    <t>23.7.31</t>
  </si>
  <si>
    <t>23.8.1</t>
  </si>
  <si>
    <t>塑料冲击</t>
  </si>
  <si>
    <t>w-2023-ALTC-TC-068</t>
  </si>
  <si>
    <t>23.8.7</t>
  </si>
  <si>
    <t>23.8.8</t>
  </si>
  <si>
    <t>气门导管（灰铸铁）</t>
  </si>
  <si>
    <t>w-2023-ALTC-TC-069</t>
  </si>
  <si>
    <t>23.8.9</t>
  </si>
  <si>
    <t>23.8.10</t>
  </si>
  <si>
    <t>横梁（脱碳层）</t>
  </si>
  <si>
    <t>w-2023-ALTC-TC-070</t>
  </si>
  <si>
    <t>23.8.11</t>
  </si>
  <si>
    <t>23.8.14</t>
  </si>
  <si>
    <t>空心半轴（20CrMo）化学成分</t>
  </si>
  <si>
    <t>w-2023-ALTC-TC-071</t>
  </si>
  <si>
    <t>23.8.15</t>
  </si>
  <si>
    <t>垫片（渗氮层深）</t>
  </si>
  <si>
    <t>渗氮层深度</t>
  </si>
  <si>
    <t>w-2023-ALTC-TC-072</t>
  </si>
  <si>
    <t>23.8.16</t>
  </si>
  <si>
    <t>23.8.17</t>
  </si>
  <si>
    <t>油箱托架和侧板焊接接头</t>
  </si>
  <si>
    <t>焊缝微观和宏观检测</t>
  </si>
  <si>
    <t>w-2023-ALTC-TC-073</t>
  </si>
  <si>
    <t>23.8.18</t>
  </si>
  <si>
    <t>23.8.21</t>
  </si>
  <si>
    <t>支撑杆（20CrMnTiH）化学成分</t>
  </si>
  <si>
    <t>w-2023-ALTC-TC-074</t>
  </si>
  <si>
    <t>23.8.22</t>
  </si>
  <si>
    <t>铝合金中镁含量留样再测（8月）</t>
  </si>
  <si>
    <t>w-2023-ALTC-TC-075</t>
  </si>
  <si>
    <t>23.8.23</t>
  </si>
  <si>
    <t>塑料拉伸、弯曲</t>
  </si>
  <si>
    <t>w-2023-ALTC-TC-076</t>
  </si>
  <si>
    <t>23.8.24</t>
  </si>
  <si>
    <t>加油管支架</t>
  </si>
  <si>
    <t>武基勇</t>
  </si>
  <si>
    <t>w-2023-ALTC-TC-077</t>
  </si>
  <si>
    <t>23.8.25</t>
  </si>
  <si>
    <t>聚丙烯（热性能）</t>
  </si>
  <si>
    <t>塑料负荷变形温度、维卡软化温度、溶体流动速率</t>
  </si>
  <si>
    <t>w-2023-ALTC-TC-078</t>
  </si>
  <si>
    <t>23.8.28</t>
  </si>
  <si>
    <t>导向臂支架（球墨铸铁）</t>
  </si>
  <si>
    <t>w-2023-ALTC-TC-079</t>
  </si>
  <si>
    <t>23.8.30</t>
  </si>
  <si>
    <t>23.9.1</t>
  </si>
  <si>
    <t>w-2023-ALTC-TC-080</t>
  </si>
  <si>
    <t>23.9.4</t>
  </si>
  <si>
    <t>连杆（非金属夹杂物）</t>
  </si>
  <si>
    <t>w-2023-ALTC-TC-081</t>
  </si>
  <si>
    <t>23.9.5</t>
  </si>
  <si>
    <t>23.9.6</t>
  </si>
  <si>
    <t>镁合金饰板</t>
  </si>
  <si>
    <t>w-2023-ALTC-TC-082</t>
  </si>
  <si>
    <t>23.9.12</t>
  </si>
  <si>
    <t>23.9.13</t>
  </si>
  <si>
    <t>w-2023-ALTC-TC-083</t>
  </si>
  <si>
    <t>23.9.19</t>
  </si>
  <si>
    <t>23.9.20</t>
  </si>
  <si>
    <t>尾气净化器壳体</t>
  </si>
  <si>
    <t>w-2023-ALTC-TC-084</t>
  </si>
  <si>
    <t>23.9.21</t>
  </si>
  <si>
    <t>橡胶撕裂</t>
  </si>
  <si>
    <t>w-2023-ALTC-TC-085</t>
  </si>
  <si>
    <t>制动硬管支架</t>
  </si>
  <si>
    <t>w-2023-ALTC-TC-086</t>
  </si>
  <si>
    <t>锻钢棒（非金属夹杂物）</t>
  </si>
  <si>
    <t>w-2023-ALTC-TC-087</t>
  </si>
  <si>
    <t>机油滤清器壳体（6061铝合金）</t>
  </si>
  <si>
    <t>w-2023-ALTC-TC-088</t>
  </si>
  <si>
    <t>23.9.22</t>
  </si>
  <si>
    <t>钢板（冷轧薄板晶粒度）</t>
  </si>
  <si>
    <t>w-2023-ALTC-TC-089</t>
  </si>
  <si>
    <t>制动阀密封垫（不锈钢）</t>
  </si>
  <si>
    <t>w-2023-ALTC-TC-090</t>
  </si>
  <si>
    <t>23.9.25</t>
  </si>
  <si>
    <t>连杆</t>
  </si>
  <si>
    <t>w-2023-ALTC-TC-091</t>
  </si>
  <si>
    <t>Q345样块焊接接头</t>
  </si>
  <si>
    <t>w-2023-ALTC-TC-092</t>
  </si>
  <si>
    <t>23.9.26</t>
  </si>
  <si>
    <t>w-2023-ALTC-TC-093</t>
  </si>
  <si>
    <t>导杆</t>
  </si>
  <si>
    <t>渗氮层深度、金相组织</t>
  </si>
  <si>
    <t>w-2023-ALTC-TC-094</t>
  </si>
  <si>
    <t>23.9.27</t>
  </si>
  <si>
    <t>进气接管（6061铝合金）</t>
  </si>
  <si>
    <t>w-2023-ALTC-TC-095</t>
  </si>
  <si>
    <t>23.10.7</t>
  </si>
  <si>
    <t>23.10.8</t>
  </si>
  <si>
    <t>管路固定支架</t>
  </si>
  <si>
    <t>w-2023-ALTC-TC-096</t>
  </si>
  <si>
    <t>23.10.9</t>
  </si>
  <si>
    <t>23.10.10</t>
  </si>
  <si>
    <t>45#钢样块（脱碳层深）</t>
  </si>
  <si>
    <t>w-2023-ALTC-TC-097</t>
  </si>
  <si>
    <t>23.10.11</t>
  </si>
  <si>
    <t>w-2023-ALTC-TC-098</t>
  </si>
  <si>
    <t>23.10.12</t>
  </si>
  <si>
    <t>23.10.13</t>
  </si>
  <si>
    <t>45#钢圆棒</t>
  </si>
  <si>
    <t>w-2023-ALTC-TC-099</t>
  </si>
  <si>
    <t>23.10.16</t>
  </si>
  <si>
    <t>灰铁样块</t>
  </si>
  <si>
    <t>w-2023-ALTC-TC-100</t>
  </si>
  <si>
    <t>23.10.17</t>
  </si>
  <si>
    <t>钻头（共晶碳化物）</t>
  </si>
  <si>
    <t>w-2023-ALTC-TC-101</t>
  </si>
  <si>
    <t>23.10.18</t>
  </si>
  <si>
    <t>齿轮（渗碳淬火层深）</t>
  </si>
  <si>
    <t>w-2023-ALTC-TC-102</t>
  </si>
  <si>
    <t>23.10.19</t>
  </si>
  <si>
    <t>东风汽车技术中心</t>
  </si>
  <si>
    <t>w-2023-ALTC-TC-103</t>
  </si>
  <si>
    <t>23.10.20</t>
  </si>
  <si>
    <t>w-2023-ALTC-TC-104</t>
  </si>
  <si>
    <t>23.10.23</t>
  </si>
  <si>
    <t>23.10.24</t>
  </si>
  <si>
    <t>w-2023-ALTC-TC-105</t>
  </si>
  <si>
    <t>23.10.25</t>
  </si>
  <si>
    <t>45#刚样块</t>
  </si>
  <si>
    <t>魏试组织评级</t>
  </si>
  <si>
    <t>张鑫明、吴凡</t>
  </si>
  <si>
    <t>w-2023-ALTC-TC-106</t>
  </si>
  <si>
    <t>23.10.26</t>
  </si>
  <si>
    <t>23.10.28</t>
  </si>
  <si>
    <t>w-2023-ALTC-TC-107</t>
  </si>
  <si>
    <t>w-2023-ALTC-TC-108</t>
  </si>
  <si>
    <t>锌铝涂层螺栓</t>
  </si>
  <si>
    <t>中性盐雾试验</t>
  </si>
  <si>
    <t>w-2023-ALTC-TC-109</t>
  </si>
  <si>
    <t>2mm钢板/DC01</t>
  </si>
  <si>
    <t>显微组织、晶粒度</t>
  </si>
  <si>
    <t>w-2023-ALTC-TC-110</t>
  </si>
  <si>
    <t>缸盖螺栓/42CrMo</t>
  </si>
  <si>
    <t>非金属夹杂物</t>
  </si>
  <si>
    <t>w-2023-ALTC-TC-111</t>
  </si>
  <si>
    <t>搅拌摩擦焊空心半轴/40Cr</t>
  </si>
  <si>
    <t>焊缝宏观和微观检验</t>
  </si>
  <si>
    <t>w-2023-ALTC-TC-112</t>
  </si>
  <si>
    <t>连杆/35CrMo</t>
  </si>
  <si>
    <t>w-2023-ALTC-TC-113</t>
  </si>
  <si>
    <t>橡胶拉伸、橡胶撕裂</t>
  </si>
  <si>
    <t>w-2023-ALTC-TC-114</t>
  </si>
  <si>
    <t>塑料拉伸、塑料弯曲、塑料冲击</t>
  </si>
  <si>
    <t>w-2023-ALTC-TC-115</t>
  </si>
  <si>
    <t>镁合金</t>
  </si>
  <si>
    <t>w-2023-ALTC-TC-116</t>
  </si>
  <si>
    <t>合金钢样块</t>
  </si>
  <si>
    <t>w-2023-ALTC-TC-117</t>
  </si>
  <si>
    <t>不锈钢样块</t>
  </si>
  <si>
    <t>w-2023-ALTC-TC-118</t>
  </si>
  <si>
    <t>铝合金样块</t>
  </si>
  <si>
    <t>w-2023-ALTC-TC-119</t>
  </si>
  <si>
    <t>气门导管/HT250</t>
  </si>
  <si>
    <t>铸铁金相、渗氮层深度</t>
  </si>
  <si>
    <t>w-2023-ALTC-TC-120</t>
  </si>
  <si>
    <t>2023.10.30</t>
  </si>
  <si>
    <t>钢板</t>
  </si>
  <si>
    <t>显微组织</t>
  </si>
  <si>
    <t>时间</t>
  </si>
  <si>
    <t>任务量</t>
  </si>
  <si>
    <t>报告完成</t>
  </si>
  <si>
    <t>8月</t>
  </si>
  <si>
    <t>9月</t>
  </si>
  <si>
    <t>10月</t>
  </si>
  <si>
    <t>11月</t>
  </si>
  <si>
    <t>12月</t>
  </si>
  <si>
    <t>金额（万）</t>
  </si>
  <si>
    <t>易耗品管理</t>
    <phoneticPr fontId="17" type="noConversion"/>
  </si>
  <si>
    <t>环境管理</t>
    <phoneticPr fontId="17" type="noConversion"/>
  </si>
  <si>
    <t>设备管理</t>
    <phoneticPr fontId="17" type="noConversion"/>
  </si>
  <si>
    <t>方法管理</t>
    <phoneticPr fontId="17" type="noConversion"/>
  </si>
  <si>
    <t>委托信息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</si>
</sst>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family val="2"/>
    </font>
    <font>
      <sz val="10.5"/>
      <color theme="1"/>
      <name val="Wingdings"/>
      <charset val="2"/>
    </font>
    <font>
      <sz val="11"/>
      <color rgb="FF000000"/>
      <name val="宋体"/>
      <charset val="134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14" xfId="0" applyFont="1" applyBorder="1"/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9" fontId="9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2023</a:t>
            </a:r>
            <a:r>
              <a:rPr lang="zh-CN" altLang="en-US"/>
              <a:t>年检测任务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任务量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Sheet2!$A$2:$A$6</c:f>
              <c:strCache>
                <c:ptCount val="5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12</c:v>
                </c:pt>
                <c:pt idx="1">
                  <c:v>15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2-4A4F-842D-4748118E664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报告完成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Sheet2!$A$2:$A$6</c:f>
              <c:strCache>
                <c:ptCount val="5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0">
                  <c:v>12</c:v>
                </c:pt>
                <c:pt idx="1">
                  <c:v>15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2-4A4F-842D-4748118E6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4532080"/>
        <c:axId val="1617907104"/>
      </c:barChart>
      <c:catAx>
        <c:axId val="145453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7907104"/>
        <c:crosses val="autoZero"/>
        <c:auto val="1"/>
        <c:lblAlgn val="ctr"/>
        <c:lblOffset val="100"/>
        <c:noMultiLvlLbl val="0"/>
      </c:catAx>
      <c:valAx>
        <c:axId val="16179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53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年收入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Sheet2!$A$17:$A$22</c:f>
              <c:strCache>
                <c:ptCount val="6"/>
                <c:pt idx="0">
                  <c:v>时间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</c:strCache>
            </c:strRef>
          </c:cat>
          <c:val>
            <c:numRef>
              <c:f>Sheet2!$B$17:$B$22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B-4CC0-8ADB-7B793DC83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395264"/>
        <c:axId val="1701862944"/>
      </c:lineChart>
      <c:catAx>
        <c:axId val="183339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1862944"/>
        <c:crosses val="autoZero"/>
        <c:auto val="1"/>
        <c:lblAlgn val="ctr"/>
        <c:lblOffset val="100"/>
        <c:noMultiLvlLbl val="0"/>
      </c:catAx>
      <c:valAx>
        <c:axId val="17018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339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171450</xdr:rowOff>
    </xdr:from>
    <xdr:to>
      <xdr:col>10</xdr:col>
      <xdr:colOff>177800</xdr:colOff>
      <xdr:row>18</xdr:row>
      <xdr:rowOff>69850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2</xdr:row>
      <xdr:rowOff>139700</xdr:rowOff>
    </xdr:from>
    <xdr:to>
      <xdr:col>17</xdr:col>
      <xdr:colOff>215900</xdr:colOff>
      <xdr:row>18</xdr:row>
      <xdr:rowOff>38100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&#37096;&#38376;\TC(&#35797;&#39564;&#20013;&#24515;)\&#29289;&#36164;&#32479;&#35745;\&#35797;&#39564;&#20013;&#24515;&#29289;&#21697;&#20449;&#24687;&#21488;&#361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物品信息汇总表"/>
      <sheetName val="入库明细"/>
      <sheetName val="出库明细"/>
      <sheetName val="出入库明细表"/>
      <sheetName val="收发存汇总表"/>
    </sheetNames>
    <sheetDataSet>
      <sheetData sheetId="0"/>
      <sheetData sheetId="1">
        <row r="1">
          <cell r="C1" t="str">
            <v>名称</v>
          </cell>
          <cell r="H1" t="str">
            <v>入库数量</v>
          </cell>
        </row>
        <row r="2">
          <cell r="C2" t="str">
            <v>液压器油</v>
          </cell>
          <cell r="H2">
            <v>167.7</v>
          </cell>
        </row>
        <row r="3">
          <cell r="C3" t="str">
            <v>氩气</v>
          </cell>
          <cell r="H3">
            <v>2</v>
          </cell>
        </row>
        <row r="4">
          <cell r="C4" t="str">
            <v>氮气</v>
          </cell>
          <cell r="H4">
            <v>1</v>
          </cell>
        </row>
        <row r="5">
          <cell r="C5" t="str">
            <v>氮气</v>
          </cell>
          <cell r="H5">
            <v>1</v>
          </cell>
        </row>
        <row r="6">
          <cell r="C6" t="str">
            <v>氧气</v>
          </cell>
          <cell r="H6">
            <v>1</v>
          </cell>
        </row>
        <row r="7">
          <cell r="C7" t="str">
            <v>钢气瓶</v>
          </cell>
          <cell r="H7">
            <v>4</v>
          </cell>
        </row>
        <row r="8">
          <cell r="C8" t="str">
            <v>钢气瓶</v>
          </cell>
          <cell r="H8">
            <v>1</v>
          </cell>
        </row>
        <row r="9">
          <cell r="C9" t="str">
            <v>维氏硬度块</v>
          </cell>
          <cell r="H9">
            <v>1</v>
          </cell>
        </row>
        <row r="10">
          <cell r="C10" t="str">
            <v>镊子</v>
          </cell>
          <cell r="H10">
            <v>2</v>
          </cell>
        </row>
        <row r="11">
          <cell r="C11" t="str">
            <v>重型订书机</v>
          </cell>
          <cell r="H11">
            <v>1</v>
          </cell>
        </row>
        <row r="12">
          <cell r="C12" t="str">
            <v>手推车</v>
          </cell>
          <cell r="H12">
            <v>1</v>
          </cell>
        </row>
        <row r="13">
          <cell r="C13" t="str">
            <v>气瓶推车</v>
          </cell>
          <cell r="H13">
            <v>2</v>
          </cell>
        </row>
        <row r="14">
          <cell r="C14" t="str">
            <v>滤纸60*60cm 中速</v>
          </cell>
          <cell r="H14">
            <v>2</v>
          </cell>
        </row>
        <row r="15">
          <cell r="C15" t="str">
            <v>烧杯50ml</v>
          </cell>
          <cell r="H15">
            <v>4</v>
          </cell>
        </row>
        <row r="16">
          <cell r="C16" t="str">
            <v>烧杯50ml</v>
          </cell>
          <cell r="H16">
            <v>1</v>
          </cell>
        </row>
        <row r="17">
          <cell r="C17" t="str">
            <v>烧杯100ml</v>
          </cell>
          <cell r="H17">
            <v>4</v>
          </cell>
        </row>
        <row r="18">
          <cell r="C18" t="str">
            <v>烧杯100ml</v>
          </cell>
          <cell r="H18">
            <v>1</v>
          </cell>
        </row>
        <row r="19">
          <cell r="C19" t="str">
            <v>烧杯200ml</v>
          </cell>
          <cell r="H19">
            <v>4</v>
          </cell>
        </row>
        <row r="20">
          <cell r="C20" t="str">
            <v>烧杯200ml</v>
          </cell>
          <cell r="H20">
            <v>1</v>
          </cell>
        </row>
        <row r="21">
          <cell r="C21" t="str">
            <v>烧杯500ml</v>
          </cell>
          <cell r="H21">
            <v>4</v>
          </cell>
        </row>
        <row r="22">
          <cell r="C22" t="str">
            <v>烧杯500ml</v>
          </cell>
          <cell r="H22">
            <v>1</v>
          </cell>
        </row>
        <row r="23">
          <cell r="C23" t="str">
            <v>烧杯1000ml</v>
          </cell>
          <cell r="H23">
            <v>4</v>
          </cell>
        </row>
        <row r="24">
          <cell r="C24" t="str">
            <v>烧杯1000ml</v>
          </cell>
          <cell r="H24">
            <v>1</v>
          </cell>
        </row>
        <row r="25">
          <cell r="C25" t="str">
            <v>容量瓶50ml</v>
          </cell>
          <cell r="H25">
            <v>4</v>
          </cell>
        </row>
        <row r="26">
          <cell r="C26" t="str">
            <v>容量瓶100ml</v>
          </cell>
          <cell r="H26">
            <v>10</v>
          </cell>
        </row>
        <row r="27">
          <cell r="C27" t="str">
            <v>容量瓶250ml</v>
          </cell>
          <cell r="H27">
            <v>12</v>
          </cell>
        </row>
        <row r="28">
          <cell r="C28" t="str">
            <v>容量瓶500ml</v>
          </cell>
          <cell r="H28">
            <v>4</v>
          </cell>
        </row>
        <row r="29">
          <cell r="C29" t="str">
            <v>容量瓶1000ml</v>
          </cell>
          <cell r="H29">
            <v>4</v>
          </cell>
        </row>
        <row r="30">
          <cell r="C30" t="str">
            <v>容量瓶2000ml</v>
          </cell>
          <cell r="H30">
            <v>4</v>
          </cell>
        </row>
        <row r="31">
          <cell r="C31" t="str">
            <v>量筒10ml</v>
          </cell>
          <cell r="H31">
            <v>3</v>
          </cell>
        </row>
        <row r="32">
          <cell r="C32" t="str">
            <v>量筒50ml</v>
          </cell>
          <cell r="H32">
            <v>3</v>
          </cell>
        </row>
        <row r="33">
          <cell r="C33" t="str">
            <v>量筒100ml</v>
          </cell>
          <cell r="H33">
            <v>3</v>
          </cell>
        </row>
        <row r="34">
          <cell r="C34" t="str">
            <v>量筒250ml</v>
          </cell>
          <cell r="H34">
            <v>3</v>
          </cell>
        </row>
        <row r="35">
          <cell r="C35" t="str">
            <v>漏斗60mm</v>
          </cell>
          <cell r="H35">
            <v>4</v>
          </cell>
        </row>
        <row r="36">
          <cell r="C36" t="str">
            <v>漏斗60mm</v>
          </cell>
          <cell r="H36">
            <v>1</v>
          </cell>
        </row>
        <row r="37">
          <cell r="C37" t="str">
            <v>漏斗100mm</v>
          </cell>
          <cell r="H37">
            <v>5</v>
          </cell>
        </row>
        <row r="38">
          <cell r="C38" t="str">
            <v>塑料量杯1000ml</v>
          </cell>
          <cell r="H38">
            <v>1</v>
          </cell>
        </row>
        <row r="39">
          <cell r="C39" t="str">
            <v>塑料量杯1000ml</v>
          </cell>
          <cell r="H39">
            <v>1</v>
          </cell>
        </row>
        <row r="40">
          <cell r="C40" t="str">
            <v>塑料量杯2000ml</v>
          </cell>
          <cell r="H40">
            <v>2</v>
          </cell>
        </row>
        <row r="41">
          <cell r="C41" t="str">
            <v>封口膜10cm*38m</v>
          </cell>
          <cell r="H41">
            <v>1</v>
          </cell>
        </row>
        <row r="42">
          <cell r="C42" t="str">
            <v>玻璃搅拌棒6mm*150mm</v>
          </cell>
          <cell r="H42">
            <v>4</v>
          </cell>
        </row>
        <row r="43">
          <cell r="C43" t="str">
            <v>玻璃搅拌棒6mm*150mm</v>
          </cell>
          <cell r="H43">
            <v>1</v>
          </cell>
        </row>
        <row r="44">
          <cell r="C44" t="str">
            <v>尖嘴冲洗瓶500ml</v>
          </cell>
          <cell r="H44">
            <v>9</v>
          </cell>
        </row>
        <row r="45">
          <cell r="C45" t="str">
            <v>尖嘴冲洗瓶500ml</v>
          </cell>
          <cell r="H45">
            <v>1</v>
          </cell>
        </row>
        <row r="46">
          <cell r="C46" t="str">
            <v>干燥皿300mm</v>
          </cell>
          <cell r="H46">
            <v>2</v>
          </cell>
        </row>
        <row r="47">
          <cell r="C47" t="str">
            <v>干燥皿300mm</v>
          </cell>
          <cell r="H47">
            <v>1</v>
          </cell>
        </row>
        <row r="48">
          <cell r="C48" t="str">
            <v>干燥皿400mm</v>
          </cell>
          <cell r="H48">
            <v>3</v>
          </cell>
        </row>
        <row r="49">
          <cell r="C49" t="str">
            <v>白凡士林500g</v>
          </cell>
          <cell r="H49">
            <v>1</v>
          </cell>
        </row>
        <row r="50">
          <cell r="C50" t="str">
            <v>胶头滴管1ml</v>
          </cell>
          <cell r="H50">
            <v>1</v>
          </cell>
        </row>
        <row r="51">
          <cell r="C51" t="str">
            <v>胶头滴管3ml</v>
          </cell>
          <cell r="H51">
            <v>1</v>
          </cell>
        </row>
        <row r="52">
          <cell r="C52" t="str">
            <v>胶头滴管5ml</v>
          </cell>
          <cell r="H52">
            <v>1</v>
          </cell>
        </row>
        <row r="53">
          <cell r="C53" t="str">
            <v>脱脂棉500g</v>
          </cell>
          <cell r="H53">
            <v>9</v>
          </cell>
        </row>
        <row r="54">
          <cell r="C54" t="str">
            <v>脱脂棉500g</v>
          </cell>
          <cell r="H54">
            <v>1</v>
          </cell>
        </row>
        <row r="55">
          <cell r="C55" t="str">
            <v>乳胶管8*12mm/米</v>
          </cell>
          <cell r="H55">
            <v>1</v>
          </cell>
        </row>
        <row r="56">
          <cell r="C56" t="str">
            <v>盐雾封边胶带（3M471）10cm*33m</v>
          </cell>
          <cell r="H56">
            <v>1</v>
          </cell>
        </row>
        <row r="57">
          <cell r="C57" t="str">
            <v>盐雾封边胶带（3M471）10cm*33m</v>
          </cell>
          <cell r="H57">
            <v>1</v>
          </cell>
        </row>
        <row r="58">
          <cell r="C58" t="str">
            <v>移液管1ml</v>
          </cell>
          <cell r="H58">
            <v>2</v>
          </cell>
        </row>
        <row r="59">
          <cell r="C59" t="str">
            <v>移液管2ml</v>
          </cell>
          <cell r="H59">
            <v>2</v>
          </cell>
        </row>
        <row r="60">
          <cell r="C60" t="str">
            <v>移液管5ml</v>
          </cell>
          <cell r="H60">
            <v>1</v>
          </cell>
        </row>
        <row r="61">
          <cell r="C61" t="str">
            <v>移液管5ml</v>
          </cell>
          <cell r="H61">
            <v>1</v>
          </cell>
        </row>
        <row r="62">
          <cell r="C62" t="str">
            <v>移液管10ml</v>
          </cell>
          <cell r="H62">
            <v>2</v>
          </cell>
        </row>
        <row r="63">
          <cell r="C63" t="str">
            <v>移液管20ml</v>
          </cell>
          <cell r="H63">
            <v>2</v>
          </cell>
        </row>
        <row r="64">
          <cell r="C64" t="str">
            <v>移液管50ml</v>
          </cell>
          <cell r="H64">
            <v>2</v>
          </cell>
        </row>
        <row r="65">
          <cell r="C65" t="str">
            <v>大小标签纸（不干胶）26*15mm</v>
          </cell>
          <cell r="H65">
            <v>1</v>
          </cell>
        </row>
        <row r="66">
          <cell r="C66" t="str">
            <v>大小标签纸（不干胶）26*15mm</v>
          </cell>
          <cell r="H66">
            <v>1</v>
          </cell>
        </row>
        <row r="67">
          <cell r="C67" t="str">
            <v>大小标签纸（不干胶）50mm*28mm</v>
          </cell>
          <cell r="H67">
            <v>2</v>
          </cell>
        </row>
        <row r="68">
          <cell r="C68" t="str">
            <v>变色硅胶干燥剂</v>
          </cell>
          <cell r="H68">
            <v>19</v>
          </cell>
        </row>
        <row r="69">
          <cell r="C69" t="str">
            <v>变色硅胶干燥剂</v>
          </cell>
          <cell r="H69">
            <v>1</v>
          </cell>
        </row>
        <row r="70">
          <cell r="C70" t="str">
            <v>氯化钠</v>
          </cell>
          <cell r="H70">
            <v>40</v>
          </cell>
        </row>
        <row r="71">
          <cell r="C71" t="str">
            <v>乙醇</v>
          </cell>
          <cell r="H71">
            <v>20</v>
          </cell>
        </row>
        <row r="72">
          <cell r="C72" t="str">
            <v>氢氧化钠10%</v>
          </cell>
          <cell r="H72">
            <v>2</v>
          </cell>
        </row>
        <row r="73">
          <cell r="C73" t="str">
            <v>10%盐酸</v>
          </cell>
          <cell r="H73">
            <v>1</v>
          </cell>
        </row>
        <row r="74">
          <cell r="C74" t="str">
            <v>硫酸标准溶液0.1mol/L</v>
          </cell>
          <cell r="H74">
            <v>1</v>
          </cell>
        </row>
        <row r="75">
          <cell r="C75" t="str">
            <v>碱石灰</v>
          </cell>
          <cell r="H75">
            <v>1</v>
          </cell>
        </row>
        <row r="76">
          <cell r="C76" t="str">
            <v>纯甲醇</v>
          </cell>
          <cell r="H76">
            <v>4</v>
          </cell>
        </row>
        <row r="77">
          <cell r="C77" t="str">
            <v>高纯乙腈</v>
          </cell>
          <cell r="H77">
            <v>4</v>
          </cell>
        </row>
        <row r="78">
          <cell r="C78" t="str">
            <v>碘化钠</v>
          </cell>
          <cell r="H78">
            <v>1</v>
          </cell>
        </row>
        <row r="79">
          <cell r="C79" t="str">
            <v>肖特试剂瓶</v>
          </cell>
          <cell r="H79">
            <v>2</v>
          </cell>
        </row>
        <row r="80">
          <cell r="C80" t="str">
            <v>镶嵌料（HM1 黑色）</v>
          </cell>
          <cell r="H80">
            <v>1</v>
          </cell>
        </row>
        <row r="81">
          <cell r="C81" t="str">
            <v>通用性热镶嵌料 绿色</v>
          </cell>
          <cell r="H81">
            <v>7</v>
          </cell>
        </row>
        <row r="82">
          <cell r="C82" t="str">
            <v>导电型热镶嵌料</v>
          </cell>
          <cell r="H82">
            <v>2</v>
          </cell>
        </row>
        <row r="83">
          <cell r="C83" t="str">
            <v>保边型热镶嵌料</v>
          </cell>
          <cell r="H83">
            <v>10</v>
          </cell>
        </row>
        <row r="84">
          <cell r="C84" t="str">
            <v>透明型热镶嵌料</v>
          </cell>
          <cell r="H84">
            <v>5</v>
          </cell>
        </row>
        <row r="85">
          <cell r="C85" t="str">
            <v>塑料镶嵌夹</v>
          </cell>
          <cell r="H85">
            <v>5</v>
          </cell>
        </row>
        <row r="86">
          <cell r="C86" t="str">
            <v>金属镶嵌夹</v>
          </cell>
          <cell r="H86">
            <v>5</v>
          </cell>
        </row>
        <row r="87">
          <cell r="C87" t="str">
            <v>4861000017 Eppendorf Xplorer 1-20ul 单道电动移液器</v>
          </cell>
          <cell r="H87">
            <v>1</v>
          </cell>
        </row>
        <row r="88">
          <cell r="C88" t="str">
            <v>新3123000217老3120000216 Research plus 0.1-2.5ul整支消毒单道移液器(小彩)</v>
          </cell>
          <cell r="H88">
            <v>1</v>
          </cell>
        </row>
        <row r="89">
          <cell r="C89" t="str">
            <v>新3123000241老3120000240 Research plus 10-100ul整支消毒单道移液器(小彩)</v>
          </cell>
          <cell r="H89">
            <v>1</v>
          </cell>
        </row>
        <row r="90">
          <cell r="C90" t="str">
            <v>新3123000268老3120000267 Research plus 100-1000ul整支消毒单道移液器(小彩）</v>
          </cell>
          <cell r="H90">
            <v>1</v>
          </cell>
        </row>
        <row r="91">
          <cell r="C91" t="str">
            <v>新3123000080老3120000089 Research PLUS 1-10ml整支消毒单道移液器(大彩)</v>
          </cell>
          <cell r="H91">
            <v>1</v>
          </cell>
        </row>
        <row r="92">
          <cell r="C92" t="str">
            <v>0030000811 epTIPS 普通袋装优质级0.1-10ul普通袋装吸头无色</v>
          </cell>
          <cell r="H92">
            <v>1</v>
          </cell>
        </row>
        <row r="93">
          <cell r="C93" t="str">
            <v>0030000870 epTIPS 普通袋装优质级2-200ul普通袋装吸头黄色</v>
          </cell>
          <cell r="H93">
            <v>2</v>
          </cell>
        </row>
        <row r="94">
          <cell r="C94" t="str">
            <v>0030000919 epTIPs 普通袋装优质级50-1000ul吸头普通袋装蓝色</v>
          </cell>
          <cell r="H94">
            <v>1</v>
          </cell>
        </row>
        <row r="95">
          <cell r="C95" t="str">
            <v>0030000765 epTIPS 普通袋装优质级0.5-10ml普通袋装吸头无色</v>
          </cell>
          <cell r="H95">
            <v>1</v>
          </cell>
        </row>
        <row r="96">
          <cell r="C96" t="str">
            <v>BS-10-T 10ul短白袋装吸头</v>
          </cell>
          <cell r="H96">
            <v>1</v>
          </cell>
        </row>
        <row r="97">
          <cell r="C97" t="str">
            <v>BS-200-T 200ul黄色袋装吸头</v>
          </cell>
          <cell r="H97">
            <v>2</v>
          </cell>
        </row>
        <row r="98">
          <cell r="C98" t="str">
            <v>BS-1000-T 1000ul蓝色袋装吸头</v>
          </cell>
          <cell r="H98">
            <v>1</v>
          </cell>
        </row>
        <row r="99">
          <cell r="C99" t="str">
            <v>BS-10000-TE 10ml袋装吸头(配艾本德 尔森 普兰德 大龙 百得)</v>
          </cell>
          <cell r="H99">
            <v>1</v>
          </cell>
        </row>
        <row r="100">
          <cell r="C100" t="str">
            <v>丙烷气瓶</v>
          </cell>
          <cell r="H100">
            <v>1</v>
          </cell>
        </row>
        <row r="101">
          <cell r="C101" t="str">
            <v>液化石油气罐</v>
          </cell>
          <cell r="H101">
            <v>1</v>
          </cell>
        </row>
        <row r="102">
          <cell r="C102" t="str">
            <v>丙烷气</v>
          </cell>
          <cell r="H102">
            <v>1</v>
          </cell>
        </row>
        <row r="103">
          <cell r="C103" t="str">
            <v>液化石油气</v>
          </cell>
          <cell r="H103">
            <v>1</v>
          </cell>
        </row>
        <row r="104">
          <cell r="C104" t="str">
            <v>岩谷丁烷气体</v>
          </cell>
          <cell r="H104">
            <v>4</v>
          </cell>
        </row>
        <row r="105">
          <cell r="C105" t="str">
            <v>吹风机</v>
          </cell>
          <cell r="H105">
            <v>1</v>
          </cell>
        </row>
        <row r="106">
          <cell r="C106" t="str">
            <v>垫脚</v>
          </cell>
          <cell r="H106">
            <v>4</v>
          </cell>
        </row>
        <row r="107">
          <cell r="C107" t="str">
            <v>氯化钾</v>
          </cell>
          <cell r="H107">
            <v>1</v>
          </cell>
        </row>
        <row r="108">
          <cell r="C108" t="str">
            <v>白板</v>
          </cell>
          <cell r="H108">
            <v>2</v>
          </cell>
        </row>
        <row r="109">
          <cell r="C109" t="str">
            <v>4%硝酸酒精</v>
          </cell>
          <cell r="H109">
            <v>1</v>
          </cell>
        </row>
        <row r="110">
          <cell r="C110" t="str">
            <v>钢气瓶</v>
          </cell>
          <cell r="H110">
            <v>7</v>
          </cell>
        </row>
        <row r="111">
          <cell r="C111" t="str">
            <v>氩气</v>
          </cell>
          <cell r="H111">
            <v>2</v>
          </cell>
        </row>
        <row r="112">
          <cell r="C112" t="str">
            <v>氮气</v>
          </cell>
          <cell r="H112">
            <v>3</v>
          </cell>
        </row>
        <row r="113">
          <cell r="C113" t="str">
            <v>氧气</v>
          </cell>
          <cell r="H113">
            <v>1</v>
          </cell>
        </row>
        <row r="114">
          <cell r="C114" t="str">
            <v>氦气</v>
          </cell>
          <cell r="H114">
            <v>2</v>
          </cell>
        </row>
        <row r="115">
          <cell r="C115" t="str">
            <v>废液桶</v>
          </cell>
          <cell r="H115">
            <v>2</v>
          </cell>
        </row>
        <row r="116">
          <cell r="C116" t="str">
            <v>废液桶托盘</v>
          </cell>
          <cell r="H116">
            <v>1</v>
          </cell>
        </row>
        <row r="117">
          <cell r="C117" t="str">
            <v>防锈油</v>
          </cell>
          <cell r="H117">
            <v>1</v>
          </cell>
        </row>
        <row r="118">
          <cell r="C118" t="str">
            <v>甘氨酸</v>
          </cell>
          <cell r="H118">
            <v>5</v>
          </cell>
        </row>
        <row r="119">
          <cell r="C119" t="str">
            <v>离子交换树脂交换剂</v>
          </cell>
          <cell r="H119">
            <v>10</v>
          </cell>
        </row>
        <row r="120">
          <cell r="C120" t="str">
            <v>100mm培养皿</v>
          </cell>
          <cell r="H120">
            <v>10</v>
          </cell>
        </row>
        <row r="121">
          <cell r="C121" t="str">
            <v>75mm培养皿</v>
          </cell>
          <cell r="H121">
            <v>10</v>
          </cell>
        </row>
        <row r="122">
          <cell r="C122" t="str">
            <v>50ml玻璃具塞三角烧瓶</v>
          </cell>
          <cell r="H122">
            <v>3</v>
          </cell>
        </row>
        <row r="123">
          <cell r="C123" t="str">
            <v>PH缓冲溶液9.21</v>
          </cell>
          <cell r="H123">
            <v>1</v>
          </cell>
        </row>
        <row r="124">
          <cell r="C124" t="str">
            <v>PH缓冲溶液7.00</v>
          </cell>
          <cell r="H124">
            <v>1</v>
          </cell>
        </row>
        <row r="125">
          <cell r="C125" t="str">
            <v>PH缓冲溶液4.01</v>
          </cell>
          <cell r="H125">
            <v>1</v>
          </cell>
        </row>
        <row r="126">
          <cell r="C126" t="str">
            <v>柠檬酸氢二铵</v>
          </cell>
          <cell r="H126">
            <v>2</v>
          </cell>
        </row>
        <row r="127">
          <cell r="C127" t="str">
            <v>氯化钠</v>
          </cell>
          <cell r="H127">
            <v>20</v>
          </cell>
        </row>
        <row r="128">
          <cell r="C128" t="str">
            <v>金相测试液</v>
          </cell>
          <cell r="H128">
            <v>1</v>
          </cell>
        </row>
        <row r="129">
          <cell r="C129" t="str">
            <v>氯化钠</v>
          </cell>
          <cell r="H129">
            <v>80</v>
          </cell>
        </row>
        <row r="130">
          <cell r="C130" t="str">
            <v>液压器油</v>
          </cell>
          <cell r="H130">
            <v>79.209999999999994</v>
          </cell>
        </row>
        <row r="131">
          <cell r="C131" t="str">
            <v>自封袋18*26</v>
          </cell>
          <cell r="H131">
            <v>2</v>
          </cell>
        </row>
        <row r="132">
          <cell r="C132" t="str">
            <v>自封袋12*17</v>
          </cell>
          <cell r="H132">
            <v>2</v>
          </cell>
        </row>
        <row r="133">
          <cell r="C133" t="str">
            <v>自封袋7*10</v>
          </cell>
          <cell r="H133">
            <v>2</v>
          </cell>
        </row>
      </sheetData>
      <sheetData sheetId="2">
        <row r="1">
          <cell r="C1" t="str">
            <v>名称</v>
          </cell>
          <cell r="H1" t="str">
            <v>出库数量</v>
          </cell>
        </row>
        <row r="2">
          <cell r="C2" t="str">
            <v>液压器油</v>
          </cell>
          <cell r="H2">
            <v>167.7</v>
          </cell>
        </row>
        <row r="3">
          <cell r="C3" t="str">
            <v>维氏硬度块</v>
          </cell>
          <cell r="H3">
            <v>1</v>
          </cell>
        </row>
        <row r="4">
          <cell r="C4" t="str">
            <v>氩气</v>
          </cell>
          <cell r="H4">
            <v>2</v>
          </cell>
        </row>
        <row r="5">
          <cell r="C5" t="str">
            <v>氮气</v>
          </cell>
          <cell r="H5">
            <v>1</v>
          </cell>
        </row>
        <row r="6">
          <cell r="C6" t="str">
            <v>钢气瓶</v>
          </cell>
          <cell r="H6">
            <v>3</v>
          </cell>
        </row>
        <row r="7">
          <cell r="C7" t="str">
            <v>氮气</v>
          </cell>
          <cell r="H7">
            <v>1</v>
          </cell>
        </row>
        <row r="8">
          <cell r="C8" t="str">
            <v>氧气</v>
          </cell>
          <cell r="H8">
            <v>1</v>
          </cell>
        </row>
        <row r="9">
          <cell r="C9" t="str">
            <v>钢气瓶</v>
          </cell>
          <cell r="H9">
            <v>1</v>
          </cell>
        </row>
        <row r="10">
          <cell r="C10" t="str">
            <v>钢气瓶</v>
          </cell>
          <cell r="H10">
            <v>1</v>
          </cell>
        </row>
        <row r="11">
          <cell r="C11" t="str">
            <v>手推车</v>
          </cell>
          <cell r="H11">
            <v>1</v>
          </cell>
        </row>
        <row r="12">
          <cell r="C12" t="str">
            <v>气瓶推车</v>
          </cell>
          <cell r="H12">
            <v>2</v>
          </cell>
        </row>
        <row r="13">
          <cell r="C13" t="str">
            <v>大小标签纸（不干胶）26*15mm</v>
          </cell>
          <cell r="H13">
            <v>1</v>
          </cell>
        </row>
        <row r="14">
          <cell r="C14" t="str">
            <v>大小标签纸（不干胶）26*15mm</v>
          </cell>
          <cell r="H14">
            <v>1</v>
          </cell>
        </row>
        <row r="15">
          <cell r="C15" t="str">
            <v>大小标签纸（不干胶）50mm*28mm</v>
          </cell>
          <cell r="H15">
            <v>2</v>
          </cell>
        </row>
        <row r="16">
          <cell r="C16" t="str">
            <v>变色硅胶干燥剂</v>
          </cell>
          <cell r="H16">
            <v>4</v>
          </cell>
        </row>
        <row r="17">
          <cell r="C17" t="str">
            <v>干燥皿400mm</v>
          </cell>
          <cell r="H17">
            <v>2</v>
          </cell>
        </row>
        <row r="18">
          <cell r="C18" t="str">
            <v>滤纸60*60cm 中速</v>
          </cell>
          <cell r="H18">
            <v>1</v>
          </cell>
        </row>
        <row r="19">
          <cell r="C19" t="str">
            <v>烧杯50ml</v>
          </cell>
          <cell r="H19">
            <v>1</v>
          </cell>
        </row>
        <row r="20">
          <cell r="C20" t="str">
            <v>烧杯200ml</v>
          </cell>
          <cell r="H20">
            <v>3</v>
          </cell>
        </row>
        <row r="21">
          <cell r="C21" t="str">
            <v>烧杯500ml</v>
          </cell>
          <cell r="H21">
            <v>1</v>
          </cell>
        </row>
        <row r="22">
          <cell r="C22" t="str">
            <v>烧杯500ml</v>
          </cell>
          <cell r="H22">
            <v>2</v>
          </cell>
        </row>
        <row r="23">
          <cell r="C23" t="str">
            <v>容量瓶100ml</v>
          </cell>
          <cell r="H23">
            <v>5</v>
          </cell>
        </row>
        <row r="24">
          <cell r="C24" t="str">
            <v>容量瓶500ml</v>
          </cell>
          <cell r="H24">
            <v>2</v>
          </cell>
        </row>
        <row r="25">
          <cell r="C25" t="str">
            <v>容量瓶1000ml</v>
          </cell>
          <cell r="H25">
            <v>2</v>
          </cell>
        </row>
        <row r="26">
          <cell r="C26" t="str">
            <v>移液管10ml</v>
          </cell>
          <cell r="H26">
            <v>1</v>
          </cell>
        </row>
        <row r="27">
          <cell r="C27" t="str">
            <v>尖嘴冲洗瓶500ml</v>
          </cell>
          <cell r="H27">
            <v>1</v>
          </cell>
        </row>
        <row r="28">
          <cell r="C28" t="str">
            <v>尖嘴冲洗瓶500ml</v>
          </cell>
          <cell r="H28">
            <v>1</v>
          </cell>
        </row>
        <row r="29">
          <cell r="C29" t="str">
            <v>封口膜10cm*38m</v>
          </cell>
          <cell r="H29">
            <v>1</v>
          </cell>
        </row>
        <row r="30">
          <cell r="C30" t="str">
            <v>新3123000268老3120000267 Research plus 100-1000ul整支消毒单道移液器(小彩）</v>
          </cell>
          <cell r="H30">
            <v>1</v>
          </cell>
        </row>
        <row r="31">
          <cell r="C31" t="str">
            <v>新3123000080老3120000089 Research PLUS 1-10ml整支消毒单道移液器(大彩)</v>
          </cell>
          <cell r="H31">
            <v>1</v>
          </cell>
        </row>
        <row r="32">
          <cell r="C32" t="str">
            <v>烧杯50ml</v>
          </cell>
          <cell r="H32">
            <v>4</v>
          </cell>
        </row>
        <row r="33">
          <cell r="C33" t="str">
            <v>烧杯100ml</v>
          </cell>
          <cell r="H33">
            <v>4</v>
          </cell>
        </row>
        <row r="34">
          <cell r="C34" t="str">
            <v>烧杯100ml</v>
          </cell>
          <cell r="H34">
            <v>1</v>
          </cell>
        </row>
        <row r="35">
          <cell r="C35" t="str">
            <v>烧杯200ml</v>
          </cell>
          <cell r="H35">
            <v>1</v>
          </cell>
        </row>
        <row r="36">
          <cell r="C36" t="str">
            <v>烧杯200ml</v>
          </cell>
          <cell r="H36">
            <v>1</v>
          </cell>
        </row>
        <row r="37">
          <cell r="C37" t="str">
            <v>烧杯500ml</v>
          </cell>
          <cell r="H37">
            <v>2</v>
          </cell>
        </row>
        <row r="38">
          <cell r="C38" t="str">
            <v>烧杯1000ml</v>
          </cell>
          <cell r="H38">
            <v>4</v>
          </cell>
        </row>
        <row r="39">
          <cell r="C39" t="str">
            <v>烧杯1000ml</v>
          </cell>
          <cell r="H39">
            <v>1</v>
          </cell>
        </row>
        <row r="40">
          <cell r="C40" t="str">
            <v>容量瓶50ml</v>
          </cell>
          <cell r="H40">
            <v>4</v>
          </cell>
        </row>
        <row r="41">
          <cell r="C41" t="str">
            <v>容量瓶100ml</v>
          </cell>
          <cell r="H41">
            <v>5</v>
          </cell>
        </row>
        <row r="42">
          <cell r="C42" t="str">
            <v>容量瓶250ml</v>
          </cell>
          <cell r="H42">
            <v>12</v>
          </cell>
        </row>
        <row r="43">
          <cell r="C43" t="str">
            <v>容量瓶500ml</v>
          </cell>
          <cell r="H43">
            <v>2</v>
          </cell>
        </row>
        <row r="44">
          <cell r="C44" t="str">
            <v>容量瓶1000ml</v>
          </cell>
          <cell r="H44">
            <v>2</v>
          </cell>
        </row>
        <row r="45">
          <cell r="C45" t="str">
            <v>容量瓶2000ml</v>
          </cell>
          <cell r="H45">
            <v>4</v>
          </cell>
        </row>
        <row r="46">
          <cell r="C46" t="str">
            <v>量筒10ml</v>
          </cell>
          <cell r="H46">
            <v>3</v>
          </cell>
        </row>
        <row r="47">
          <cell r="C47" t="str">
            <v>量筒50ml</v>
          </cell>
          <cell r="H47">
            <v>3</v>
          </cell>
        </row>
        <row r="48">
          <cell r="C48" t="str">
            <v>量筒100ml</v>
          </cell>
          <cell r="H48">
            <v>3</v>
          </cell>
        </row>
        <row r="49">
          <cell r="C49" t="str">
            <v>量筒250ml</v>
          </cell>
          <cell r="H49">
            <v>3</v>
          </cell>
        </row>
        <row r="50">
          <cell r="C50" t="str">
            <v>漏斗60mm</v>
          </cell>
          <cell r="H50">
            <v>4</v>
          </cell>
        </row>
        <row r="51">
          <cell r="C51" t="str">
            <v>漏斗60mm</v>
          </cell>
          <cell r="H51">
            <v>1</v>
          </cell>
        </row>
        <row r="52">
          <cell r="C52" t="str">
            <v>漏斗100mm</v>
          </cell>
          <cell r="H52">
            <v>5</v>
          </cell>
        </row>
        <row r="53">
          <cell r="C53" t="str">
            <v>塑料量杯1000ml</v>
          </cell>
          <cell r="H53">
            <v>1</v>
          </cell>
        </row>
        <row r="54">
          <cell r="C54" t="str">
            <v>塑料量杯1000ml</v>
          </cell>
          <cell r="H54">
            <v>1</v>
          </cell>
        </row>
        <row r="55">
          <cell r="C55" t="str">
            <v>塑料量杯2000ml</v>
          </cell>
          <cell r="H55">
            <v>2</v>
          </cell>
        </row>
        <row r="56">
          <cell r="C56" t="str">
            <v>玻璃搅拌棒6mm*150mm</v>
          </cell>
          <cell r="H56">
            <v>4</v>
          </cell>
        </row>
        <row r="57">
          <cell r="C57" t="str">
            <v>玻璃搅拌棒6mm*150mm</v>
          </cell>
          <cell r="H57">
            <v>1</v>
          </cell>
        </row>
        <row r="58">
          <cell r="C58" t="str">
            <v>干燥皿300mm</v>
          </cell>
          <cell r="H58">
            <v>1</v>
          </cell>
        </row>
        <row r="59">
          <cell r="C59" t="str">
            <v>干燥皿400mm</v>
          </cell>
          <cell r="H59">
            <v>1</v>
          </cell>
        </row>
        <row r="60">
          <cell r="C60" t="str">
            <v>移液管1ml</v>
          </cell>
          <cell r="H60">
            <v>2</v>
          </cell>
        </row>
        <row r="61">
          <cell r="C61" t="str">
            <v>移液管2ml</v>
          </cell>
          <cell r="H61">
            <v>2</v>
          </cell>
        </row>
        <row r="62">
          <cell r="C62" t="str">
            <v>移液管5ml</v>
          </cell>
          <cell r="H62">
            <v>1</v>
          </cell>
        </row>
        <row r="63">
          <cell r="C63" t="str">
            <v>移液管5ml</v>
          </cell>
          <cell r="H63">
            <v>1</v>
          </cell>
        </row>
        <row r="64">
          <cell r="C64" t="str">
            <v>移液管10ml</v>
          </cell>
          <cell r="H64">
            <v>1</v>
          </cell>
        </row>
        <row r="65">
          <cell r="C65" t="str">
            <v>移液管20ml</v>
          </cell>
          <cell r="H65">
            <v>2</v>
          </cell>
        </row>
        <row r="66">
          <cell r="C66" t="str">
            <v>移液管50ml</v>
          </cell>
          <cell r="H66">
            <v>2</v>
          </cell>
        </row>
        <row r="67">
          <cell r="C67" t="str">
            <v>变色硅胶干燥剂</v>
          </cell>
          <cell r="H67">
            <v>3</v>
          </cell>
        </row>
        <row r="68">
          <cell r="C68" t="str">
            <v>变色硅胶干燥剂</v>
          </cell>
          <cell r="H68">
            <v>1</v>
          </cell>
        </row>
        <row r="69">
          <cell r="C69" t="str">
            <v>氯化钠</v>
          </cell>
          <cell r="H69">
            <v>1</v>
          </cell>
        </row>
        <row r="70">
          <cell r="C70" t="str">
            <v>乙醇</v>
          </cell>
          <cell r="H70">
            <v>1</v>
          </cell>
        </row>
        <row r="71">
          <cell r="C71" t="str">
            <v>乙醇</v>
          </cell>
          <cell r="H71">
            <v>1</v>
          </cell>
        </row>
        <row r="72">
          <cell r="C72" t="str">
            <v>硫酸标准溶液0.1mol/L</v>
          </cell>
          <cell r="H72">
            <v>1</v>
          </cell>
        </row>
        <row r="73">
          <cell r="C73" t="str">
            <v>碱石灰</v>
          </cell>
          <cell r="H73">
            <v>1</v>
          </cell>
        </row>
        <row r="74">
          <cell r="C74" t="str">
            <v>碘化钠</v>
          </cell>
          <cell r="H74">
            <v>1</v>
          </cell>
        </row>
        <row r="75">
          <cell r="C75" t="str">
            <v>肖特试剂瓶</v>
          </cell>
          <cell r="H75">
            <v>2</v>
          </cell>
        </row>
        <row r="76">
          <cell r="C76" t="str">
            <v>纯甲醇</v>
          </cell>
          <cell r="H76">
            <v>4</v>
          </cell>
        </row>
        <row r="77">
          <cell r="C77" t="str">
            <v>高纯乙腈</v>
          </cell>
          <cell r="H77">
            <v>4</v>
          </cell>
        </row>
        <row r="78">
          <cell r="C78" t="str">
            <v>丙烷气瓶</v>
          </cell>
          <cell r="H78">
            <v>1</v>
          </cell>
        </row>
        <row r="79">
          <cell r="C79" t="str">
            <v>液化石油气罐</v>
          </cell>
          <cell r="H79">
            <v>1</v>
          </cell>
        </row>
        <row r="80">
          <cell r="C80" t="str">
            <v>丙烷气</v>
          </cell>
          <cell r="H80">
            <v>1</v>
          </cell>
        </row>
        <row r="81">
          <cell r="C81" t="str">
            <v>液化石油气</v>
          </cell>
          <cell r="H81">
            <v>1</v>
          </cell>
        </row>
        <row r="82">
          <cell r="C82" t="str">
            <v>岩谷丁烷气体</v>
          </cell>
          <cell r="H82">
            <v>2</v>
          </cell>
        </row>
        <row r="83">
          <cell r="C83" t="str">
            <v>吹风机</v>
          </cell>
          <cell r="H83">
            <v>1</v>
          </cell>
        </row>
        <row r="84">
          <cell r="C84" t="str">
            <v>垫脚</v>
          </cell>
          <cell r="H84">
            <v>4</v>
          </cell>
        </row>
        <row r="85">
          <cell r="C85" t="str">
            <v>干燥皿300mm</v>
          </cell>
          <cell r="H85">
            <v>1</v>
          </cell>
        </row>
        <row r="86">
          <cell r="C86" t="str">
            <v>干燥皿300mm</v>
          </cell>
          <cell r="H86">
            <v>1</v>
          </cell>
        </row>
        <row r="87">
          <cell r="C87" t="str">
            <v>氯化钠</v>
          </cell>
          <cell r="H87">
            <v>39</v>
          </cell>
        </row>
        <row r="88">
          <cell r="C88" t="str">
            <v>氢氧化钠10%</v>
          </cell>
          <cell r="H88">
            <v>2</v>
          </cell>
        </row>
        <row r="89">
          <cell r="C89" t="str">
            <v>10%盐酸</v>
          </cell>
          <cell r="H89">
            <v>1</v>
          </cell>
        </row>
        <row r="90">
          <cell r="C90" t="str">
            <v>乙醇</v>
          </cell>
          <cell r="H90">
            <v>2</v>
          </cell>
        </row>
        <row r="91">
          <cell r="C91" t="str">
            <v>变色硅胶干燥剂</v>
          </cell>
          <cell r="H91">
            <v>2</v>
          </cell>
        </row>
        <row r="92">
          <cell r="C92" t="str">
            <v>尖嘴冲洗瓶500ml</v>
          </cell>
          <cell r="H92">
            <v>2</v>
          </cell>
        </row>
        <row r="93">
          <cell r="C93" t="str">
            <v>胶头滴管5ml</v>
          </cell>
          <cell r="H93">
            <v>1</v>
          </cell>
        </row>
        <row r="94">
          <cell r="C94" t="str">
            <v>盐雾封边胶带（3M471）10cm*33m</v>
          </cell>
          <cell r="H94">
            <v>1</v>
          </cell>
        </row>
        <row r="95">
          <cell r="C95" t="str">
            <v>脱脂棉500g</v>
          </cell>
          <cell r="H95">
            <v>2</v>
          </cell>
        </row>
        <row r="96">
          <cell r="C96" t="str">
            <v>塑料镶嵌夹</v>
          </cell>
          <cell r="H96">
            <v>1</v>
          </cell>
        </row>
        <row r="97">
          <cell r="C97" t="str">
            <v>金属镶嵌夹</v>
          </cell>
          <cell r="H97">
            <v>1</v>
          </cell>
        </row>
        <row r="98">
          <cell r="C98" t="str">
            <v>重型订书机</v>
          </cell>
          <cell r="H98">
            <v>1</v>
          </cell>
        </row>
        <row r="99">
          <cell r="C99" t="str">
            <v>氯化钾</v>
          </cell>
          <cell r="H99">
            <v>1</v>
          </cell>
        </row>
        <row r="100">
          <cell r="C100" t="str">
            <v>白板</v>
          </cell>
          <cell r="H100">
            <v>2</v>
          </cell>
        </row>
        <row r="101">
          <cell r="C101" t="str">
            <v>镊子</v>
          </cell>
          <cell r="H101">
            <v>1</v>
          </cell>
        </row>
        <row r="102">
          <cell r="C102" t="str">
            <v>钢气瓶</v>
          </cell>
          <cell r="H102">
            <v>7</v>
          </cell>
        </row>
        <row r="103">
          <cell r="C103" t="str">
            <v>氩气</v>
          </cell>
          <cell r="H103">
            <v>2</v>
          </cell>
        </row>
        <row r="104">
          <cell r="C104" t="str">
            <v>氮气</v>
          </cell>
          <cell r="H104">
            <v>3</v>
          </cell>
        </row>
        <row r="105">
          <cell r="C105" t="str">
            <v>氧气</v>
          </cell>
          <cell r="H105">
            <v>1</v>
          </cell>
        </row>
        <row r="106">
          <cell r="C106" t="str">
            <v>氦气</v>
          </cell>
          <cell r="H106">
            <v>2</v>
          </cell>
        </row>
        <row r="107">
          <cell r="C107" t="str">
            <v>脱脂棉500g</v>
          </cell>
          <cell r="H107">
            <v>1</v>
          </cell>
        </row>
        <row r="108">
          <cell r="C108" t="str">
            <v>滤纸60*60cm 中速</v>
          </cell>
          <cell r="H108">
            <v>1</v>
          </cell>
        </row>
        <row r="109">
          <cell r="C109" t="str">
            <v>4%硝酸酒精</v>
          </cell>
          <cell r="H109">
            <v>1</v>
          </cell>
        </row>
        <row r="110">
          <cell r="C110" t="str">
            <v>乳胶管8*12mm/米</v>
          </cell>
          <cell r="H110">
            <v>1</v>
          </cell>
        </row>
        <row r="111">
          <cell r="C111" t="str">
            <v>岩谷丁烷气体</v>
          </cell>
          <cell r="H111">
            <v>2</v>
          </cell>
        </row>
        <row r="112">
          <cell r="C112" t="str">
            <v>金相测试液</v>
          </cell>
          <cell r="H112">
            <v>1</v>
          </cell>
        </row>
        <row r="113">
          <cell r="C113" t="str">
            <v>废液桶</v>
          </cell>
          <cell r="H113">
            <v>2</v>
          </cell>
        </row>
        <row r="114">
          <cell r="C114" t="str">
            <v>废液桶托盘</v>
          </cell>
          <cell r="H114">
            <v>1</v>
          </cell>
        </row>
        <row r="115">
          <cell r="C115" t="str">
            <v>防锈油</v>
          </cell>
          <cell r="H115">
            <v>1</v>
          </cell>
        </row>
        <row r="116">
          <cell r="C116" t="str">
            <v>甘氨酸</v>
          </cell>
          <cell r="H116">
            <v>5</v>
          </cell>
        </row>
        <row r="117">
          <cell r="C117" t="str">
            <v>离子交换树脂交换剂</v>
          </cell>
          <cell r="H117">
            <v>10</v>
          </cell>
        </row>
        <row r="118">
          <cell r="C118" t="str">
            <v>100mm培养皿</v>
          </cell>
          <cell r="H118">
            <v>10</v>
          </cell>
        </row>
        <row r="119">
          <cell r="C119" t="str">
            <v>75mm培养皿</v>
          </cell>
          <cell r="H119">
            <v>2</v>
          </cell>
        </row>
        <row r="120">
          <cell r="C120" t="str">
            <v>50ml玻璃具塞三角烧瓶</v>
          </cell>
          <cell r="H120">
            <v>3</v>
          </cell>
        </row>
        <row r="121">
          <cell r="C121" t="str">
            <v>PH缓冲溶液9.21</v>
          </cell>
          <cell r="H121">
            <v>1</v>
          </cell>
        </row>
        <row r="122">
          <cell r="C122" t="str">
            <v>PH缓冲溶液7.00</v>
          </cell>
          <cell r="H122">
            <v>1</v>
          </cell>
        </row>
        <row r="123">
          <cell r="C123" t="str">
            <v>PH缓冲溶液4.01</v>
          </cell>
          <cell r="H123">
            <v>1</v>
          </cell>
        </row>
        <row r="124">
          <cell r="C124" t="str">
            <v>柠檬酸氢二铵</v>
          </cell>
          <cell r="H124">
            <v>2</v>
          </cell>
        </row>
        <row r="125">
          <cell r="C125" t="str">
            <v>氯化钠</v>
          </cell>
          <cell r="H125">
            <v>20</v>
          </cell>
        </row>
        <row r="126">
          <cell r="C126" t="str">
            <v>氯化钠</v>
          </cell>
          <cell r="H126">
            <v>20</v>
          </cell>
        </row>
        <row r="127">
          <cell r="C127" t="str">
            <v>液压器油</v>
          </cell>
          <cell r="H127">
            <v>79.209999999999994</v>
          </cell>
        </row>
        <row r="128">
          <cell r="C128" t="str">
            <v>自封袋18*26</v>
          </cell>
          <cell r="H128">
            <v>2</v>
          </cell>
        </row>
        <row r="129">
          <cell r="C129" t="str">
            <v>自封袋12*17</v>
          </cell>
          <cell r="H129">
            <v>2</v>
          </cell>
        </row>
        <row r="130">
          <cell r="C130" t="str">
            <v>自封袋7*10</v>
          </cell>
          <cell r="H130">
            <v>2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J8" sqref="J8"/>
    </sheetView>
  </sheetViews>
  <sheetFormatPr defaultColWidth="8.6640625" defaultRowHeight="14" x14ac:dyDescent="0.3"/>
  <cols>
    <col min="1" max="1" width="8.6640625" style="36"/>
    <col min="2" max="2" width="26.25" style="36" customWidth="1"/>
    <col min="3" max="3" width="20.4140625" style="36" customWidth="1"/>
    <col min="4" max="5" width="8.6640625" style="37"/>
  </cols>
  <sheetData>
    <row r="1" spans="1:5" ht="15" thickBot="1" x14ac:dyDescent="0.35">
      <c r="A1" s="48" t="s">
        <v>931</v>
      </c>
      <c r="B1" s="49"/>
      <c r="C1" s="49"/>
      <c r="D1" s="49"/>
      <c r="E1" s="50"/>
    </row>
    <row r="2" spans="1:5" ht="15.5" thickBot="1" x14ac:dyDescent="0.35">
      <c r="A2" s="38" t="s">
        <v>0</v>
      </c>
      <c r="B2" s="38" t="s">
        <v>1</v>
      </c>
      <c r="C2" s="38" t="s">
        <v>2</v>
      </c>
      <c r="D2" s="37" t="s">
        <v>3</v>
      </c>
      <c r="E2" s="37" t="s">
        <v>4</v>
      </c>
    </row>
    <row r="3" spans="1:5" ht="30.5" x14ac:dyDescent="0.3">
      <c r="A3" s="38">
        <v>1</v>
      </c>
      <c r="B3" s="38" t="s">
        <v>5</v>
      </c>
      <c r="C3" s="38" t="s">
        <v>6</v>
      </c>
      <c r="D3" s="37" t="s">
        <v>7</v>
      </c>
      <c r="E3" s="39">
        <v>0.3</v>
      </c>
    </row>
    <row r="4" spans="1:5" ht="32.5" customHeight="1" x14ac:dyDescent="0.3">
      <c r="A4" s="38">
        <v>2</v>
      </c>
      <c r="B4" s="38" t="s">
        <v>8</v>
      </c>
      <c r="C4" s="38" t="s">
        <v>9</v>
      </c>
      <c r="D4" s="37" t="s">
        <v>7</v>
      </c>
      <c r="E4" s="39">
        <v>0.2</v>
      </c>
    </row>
    <row r="5" spans="1:5" ht="31.5" customHeight="1" x14ac:dyDescent="0.3">
      <c r="A5" s="38">
        <v>3</v>
      </c>
      <c r="B5" s="38" t="s">
        <v>10</v>
      </c>
      <c r="C5" s="38" t="s">
        <v>11</v>
      </c>
      <c r="D5" s="37" t="s">
        <v>7</v>
      </c>
      <c r="E5" s="39">
        <v>0.2</v>
      </c>
    </row>
    <row r="6" spans="1:5" ht="31.5" customHeight="1" x14ac:dyDescent="0.3">
      <c r="A6" s="38">
        <v>4</v>
      </c>
      <c r="B6" s="38" t="s">
        <v>12</v>
      </c>
      <c r="C6" s="38" t="s">
        <v>13</v>
      </c>
      <c r="D6" s="37" t="s">
        <v>7</v>
      </c>
      <c r="E6" s="39">
        <v>0.2</v>
      </c>
    </row>
    <row r="7" spans="1:5" ht="31.5" customHeight="1" x14ac:dyDescent="0.3">
      <c r="A7" s="38">
        <v>5</v>
      </c>
      <c r="B7" s="38" t="s">
        <v>14</v>
      </c>
      <c r="C7" s="38" t="s">
        <v>15</v>
      </c>
      <c r="D7" s="37" t="s">
        <v>7</v>
      </c>
      <c r="E7" s="39">
        <v>0.3</v>
      </c>
    </row>
    <row r="8" spans="1:5" ht="32.5" customHeight="1" x14ac:dyDescent="0.3">
      <c r="A8" s="38">
        <v>6</v>
      </c>
      <c r="B8" s="38" t="s">
        <v>16</v>
      </c>
      <c r="C8" s="38" t="s">
        <v>17</v>
      </c>
      <c r="D8" s="37" t="s">
        <v>7</v>
      </c>
      <c r="E8" s="39">
        <v>0.2</v>
      </c>
    </row>
    <row r="9" spans="1:5" ht="31.5" x14ac:dyDescent="0.3">
      <c r="A9" s="38">
        <v>7</v>
      </c>
      <c r="B9" s="38" t="s">
        <v>18</v>
      </c>
      <c r="C9" s="38" t="s">
        <v>19</v>
      </c>
      <c r="D9" s="37" t="s">
        <v>7</v>
      </c>
      <c r="E9" s="39">
        <v>0.2</v>
      </c>
    </row>
    <row r="10" spans="1:5" ht="78" customHeight="1" x14ac:dyDescent="0.3">
      <c r="A10" s="38">
        <v>8</v>
      </c>
      <c r="B10" s="38" t="s">
        <v>20</v>
      </c>
      <c r="C10" s="38" t="s">
        <v>21</v>
      </c>
      <c r="D10" s="37" t="s">
        <v>7</v>
      </c>
      <c r="E10" s="39">
        <v>0.6</v>
      </c>
    </row>
    <row r="11" spans="1:5" ht="31.5" x14ac:dyDescent="0.3">
      <c r="A11" s="38">
        <v>9</v>
      </c>
      <c r="B11" s="38" t="s">
        <v>22</v>
      </c>
      <c r="C11" s="38" t="s">
        <v>23</v>
      </c>
      <c r="D11" s="37" t="s">
        <v>7</v>
      </c>
      <c r="E11" s="39">
        <v>0.5</v>
      </c>
    </row>
    <row r="12" spans="1:5" ht="32" customHeight="1" x14ac:dyDescent="0.3">
      <c r="A12" s="38">
        <v>10</v>
      </c>
      <c r="B12" s="38" t="s">
        <v>24</v>
      </c>
      <c r="C12" s="38" t="s">
        <v>25</v>
      </c>
      <c r="D12" s="37" t="s">
        <v>7</v>
      </c>
      <c r="E12" s="39">
        <v>0.5</v>
      </c>
    </row>
    <row r="13" spans="1:5" ht="30.5" x14ac:dyDescent="0.3">
      <c r="A13" s="38">
        <v>11</v>
      </c>
      <c r="B13" s="38" t="s">
        <v>26</v>
      </c>
      <c r="C13" s="38" t="s">
        <v>27</v>
      </c>
      <c r="D13" s="37" t="s">
        <v>7</v>
      </c>
      <c r="E13" s="39">
        <v>0.3</v>
      </c>
    </row>
    <row r="14" spans="1:5" ht="32.5" customHeight="1" x14ac:dyDescent="0.3">
      <c r="A14" s="38">
        <v>12</v>
      </c>
      <c r="B14" s="38" t="s">
        <v>28</v>
      </c>
      <c r="C14" s="38" t="s">
        <v>29</v>
      </c>
      <c r="D14" s="37" t="s">
        <v>7</v>
      </c>
      <c r="E14" s="39">
        <v>0.3</v>
      </c>
    </row>
    <row r="15" spans="1:5" ht="31.5" x14ac:dyDescent="0.3">
      <c r="A15" s="38">
        <v>13</v>
      </c>
      <c r="B15" s="38" t="s">
        <v>30</v>
      </c>
      <c r="C15" s="38" t="s">
        <v>31</v>
      </c>
      <c r="D15" s="37" t="s">
        <v>7</v>
      </c>
      <c r="E15" s="39">
        <v>0.4</v>
      </c>
    </row>
    <row r="16" spans="1:5" ht="31.5" x14ac:dyDescent="0.3">
      <c r="A16" s="38">
        <v>14</v>
      </c>
      <c r="B16" s="38" t="s">
        <v>32</v>
      </c>
      <c r="C16" s="38" t="s">
        <v>33</v>
      </c>
      <c r="D16" s="37" t="s">
        <v>7</v>
      </c>
      <c r="E16" s="39">
        <v>0.3</v>
      </c>
    </row>
    <row r="17" spans="1:5" ht="17" customHeight="1" x14ac:dyDescent="0.3">
      <c r="A17" s="38">
        <v>15</v>
      </c>
      <c r="B17" s="38" t="s">
        <v>34</v>
      </c>
      <c r="C17" s="38" t="s">
        <v>35</v>
      </c>
      <c r="D17" s="37" t="s">
        <v>7</v>
      </c>
      <c r="E17" s="39">
        <v>0.5</v>
      </c>
    </row>
    <row r="18" spans="1:5" ht="31.5" x14ac:dyDescent="0.3">
      <c r="A18" s="38">
        <v>16</v>
      </c>
      <c r="B18" s="38" t="s">
        <v>36</v>
      </c>
      <c r="C18" s="38" t="s">
        <v>37</v>
      </c>
      <c r="D18" s="37" t="s">
        <v>7</v>
      </c>
      <c r="E18" s="39">
        <v>0.3</v>
      </c>
    </row>
    <row r="19" spans="1:5" ht="31.5" x14ac:dyDescent="0.3">
      <c r="A19" s="38">
        <v>17</v>
      </c>
      <c r="B19" s="38" t="s">
        <v>38</v>
      </c>
      <c r="C19" s="38" t="s">
        <v>39</v>
      </c>
      <c r="D19" s="37" t="s">
        <v>7</v>
      </c>
      <c r="E19" s="39">
        <v>0.3</v>
      </c>
    </row>
    <row r="20" spans="1:5" ht="31.5" x14ac:dyDescent="0.3">
      <c r="A20" s="38">
        <v>18</v>
      </c>
      <c r="B20" s="38" t="s">
        <v>40</v>
      </c>
      <c r="C20" s="38" t="s">
        <v>41</v>
      </c>
      <c r="D20" s="37" t="s">
        <v>7</v>
      </c>
      <c r="E20" s="39">
        <v>0.3</v>
      </c>
    </row>
    <row r="21" spans="1:5" ht="31.5" x14ac:dyDescent="0.3">
      <c r="A21" s="38">
        <v>19</v>
      </c>
      <c r="B21" s="40" t="s">
        <v>42</v>
      </c>
      <c r="C21" s="38" t="s">
        <v>43</v>
      </c>
      <c r="D21" s="37" t="s">
        <v>7</v>
      </c>
      <c r="E21" s="39">
        <v>0.3</v>
      </c>
    </row>
    <row r="22" spans="1:5" ht="32" x14ac:dyDescent="0.3">
      <c r="A22" s="38">
        <v>20</v>
      </c>
      <c r="B22" s="38" t="s">
        <v>44</v>
      </c>
      <c r="C22" s="38" t="s">
        <v>45</v>
      </c>
      <c r="D22" s="37" t="s">
        <v>7</v>
      </c>
      <c r="E22" s="39">
        <v>0.2</v>
      </c>
    </row>
    <row r="23" spans="1:5" ht="31.5" x14ac:dyDescent="0.3">
      <c r="A23" s="38">
        <v>21</v>
      </c>
      <c r="B23" s="38" t="s">
        <v>46</v>
      </c>
      <c r="C23" s="38" t="s">
        <v>47</v>
      </c>
      <c r="D23" s="37" t="s">
        <v>7</v>
      </c>
      <c r="E23" s="39">
        <v>0.5</v>
      </c>
    </row>
  </sheetData>
  <mergeCells count="1">
    <mergeCell ref="A1:E1"/>
  </mergeCells>
  <phoneticPr fontId="1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opLeftCell="A7" workbookViewId="0">
      <selection activeCell="C31" sqref="C31"/>
    </sheetView>
  </sheetViews>
  <sheetFormatPr defaultColWidth="9" defaultRowHeight="14" x14ac:dyDescent="0.3"/>
  <cols>
    <col min="1" max="1" width="8.6640625" style="35"/>
    <col min="2" max="2" width="27.33203125" style="35" customWidth="1"/>
    <col min="3" max="3" width="16.75" style="35" customWidth="1"/>
    <col min="4" max="4" width="8.6640625" style="35"/>
  </cols>
  <sheetData>
    <row r="1" spans="1:4" x14ac:dyDescent="0.3">
      <c r="A1" s="47" t="s">
        <v>930</v>
      </c>
      <c r="B1" s="47"/>
      <c r="C1" s="47"/>
      <c r="D1" s="47"/>
    </row>
    <row r="2" spans="1:4" x14ac:dyDescent="0.3">
      <c r="A2" s="1" t="s">
        <v>48</v>
      </c>
      <c r="B2" s="1" t="s">
        <v>49</v>
      </c>
      <c r="C2" s="35" t="s">
        <v>50</v>
      </c>
      <c r="D2" s="35" t="s">
        <v>51</v>
      </c>
    </row>
    <row r="3" spans="1:4" x14ac:dyDescent="0.3">
      <c r="A3" s="41" t="s">
        <v>52</v>
      </c>
      <c r="B3" s="1" t="s">
        <v>53</v>
      </c>
      <c r="C3" s="35" t="s">
        <v>54</v>
      </c>
      <c r="D3" s="35" t="s">
        <v>55</v>
      </c>
    </row>
    <row r="4" spans="1:4" x14ac:dyDescent="0.3">
      <c r="A4" s="41"/>
      <c r="B4" s="1" t="s">
        <v>56</v>
      </c>
      <c r="C4" s="35" t="s">
        <v>57</v>
      </c>
      <c r="D4" s="35" t="s">
        <v>55</v>
      </c>
    </row>
    <row r="5" spans="1:4" x14ac:dyDescent="0.3">
      <c r="A5" s="41"/>
      <c r="B5" s="1" t="s">
        <v>58</v>
      </c>
      <c r="C5" s="35" t="s">
        <v>59</v>
      </c>
      <c r="D5" s="35" t="s">
        <v>55</v>
      </c>
    </row>
    <row r="6" spans="1:4" x14ac:dyDescent="0.3">
      <c r="A6" s="41"/>
      <c r="B6" s="1" t="s">
        <v>60</v>
      </c>
      <c r="C6" s="35" t="s">
        <v>54</v>
      </c>
      <c r="D6" s="35" t="s">
        <v>55</v>
      </c>
    </row>
    <row r="7" spans="1:4" x14ac:dyDescent="0.3">
      <c r="A7" s="41"/>
      <c r="B7" s="1" t="s">
        <v>61</v>
      </c>
      <c r="C7" s="35" t="s">
        <v>59</v>
      </c>
      <c r="D7" s="35" t="s">
        <v>55</v>
      </c>
    </row>
    <row r="8" spans="1:4" x14ac:dyDescent="0.3">
      <c r="A8" s="41"/>
      <c r="B8" s="1" t="s">
        <v>62</v>
      </c>
      <c r="C8" s="35" t="s">
        <v>54</v>
      </c>
      <c r="D8" s="35" t="s">
        <v>55</v>
      </c>
    </row>
    <row r="9" spans="1:4" x14ac:dyDescent="0.3">
      <c r="A9" s="41"/>
      <c r="B9" s="1" t="s">
        <v>63</v>
      </c>
      <c r="C9" s="35" t="s">
        <v>59</v>
      </c>
      <c r="D9" s="35" t="s">
        <v>55</v>
      </c>
    </row>
    <row r="10" spans="1:4" x14ac:dyDescent="0.3">
      <c r="A10" s="41" t="s">
        <v>64</v>
      </c>
      <c r="B10" s="1" t="s">
        <v>65</v>
      </c>
      <c r="C10" s="35" t="s">
        <v>54</v>
      </c>
      <c r="D10" s="35" t="s">
        <v>55</v>
      </c>
    </row>
    <row r="11" spans="1:4" x14ac:dyDescent="0.3">
      <c r="A11" s="41"/>
      <c r="B11" s="1" t="s">
        <v>66</v>
      </c>
      <c r="C11" s="35" t="s">
        <v>59</v>
      </c>
      <c r="D11" s="35" t="s">
        <v>55</v>
      </c>
    </row>
    <row r="12" spans="1:4" x14ac:dyDescent="0.3">
      <c r="A12" s="41"/>
      <c r="B12" s="1" t="s">
        <v>67</v>
      </c>
      <c r="C12" s="35" t="s">
        <v>54</v>
      </c>
      <c r="D12" s="35" t="s">
        <v>55</v>
      </c>
    </row>
    <row r="13" spans="1:4" x14ac:dyDescent="0.3">
      <c r="A13" s="41"/>
      <c r="B13" s="1" t="s">
        <v>68</v>
      </c>
      <c r="C13" s="35" t="s">
        <v>54</v>
      </c>
      <c r="D13" s="35" t="s">
        <v>55</v>
      </c>
    </row>
    <row r="14" spans="1:4" x14ac:dyDescent="0.3">
      <c r="A14" s="41"/>
      <c r="B14" s="1" t="s">
        <v>69</v>
      </c>
      <c r="C14" s="35" t="s">
        <v>59</v>
      </c>
      <c r="D14" s="35" t="s">
        <v>55</v>
      </c>
    </row>
    <row r="15" spans="1:4" x14ac:dyDescent="0.3">
      <c r="A15" s="41"/>
      <c r="B15" s="1" t="s">
        <v>70</v>
      </c>
      <c r="C15" s="35" t="s">
        <v>71</v>
      </c>
      <c r="D15" s="35" t="s">
        <v>55</v>
      </c>
    </row>
    <row r="16" spans="1:4" x14ac:dyDescent="0.3">
      <c r="A16" s="41"/>
      <c r="B16" s="1" t="s">
        <v>72</v>
      </c>
      <c r="C16" s="35" t="s">
        <v>54</v>
      </c>
      <c r="D16" s="35" t="s">
        <v>55</v>
      </c>
    </row>
    <row r="17" spans="1:4" x14ac:dyDescent="0.3">
      <c r="A17" s="41"/>
      <c r="B17" s="1" t="s">
        <v>73</v>
      </c>
      <c r="C17" s="35" t="s">
        <v>57</v>
      </c>
      <c r="D17" s="35" t="s">
        <v>55</v>
      </c>
    </row>
    <row r="18" spans="1:4" x14ac:dyDescent="0.3">
      <c r="A18" s="41"/>
      <c r="B18" s="1" t="s">
        <v>74</v>
      </c>
      <c r="C18" s="35" t="s">
        <v>54</v>
      </c>
      <c r="D18" s="35" t="s">
        <v>55</v>
      </c>
    </row>
    <row r="19" spans="1:4" x14ac:dyDescent="0.3">
      <c r="A19" s="41"/>
      <c r="B19" s="1" t="s">
        <v>75</v>
      </c>
      <c r="C19" s="35" t="s">
        <v>54</v>
      </c>
      <c r="D19" s="35" t="s">
        <v>55</v>
      </c>
    </row>
    <row r="20" spans="1:4" x14ac:dyDescent="0.3">
      <c r="A20" s="41"/>
      <c r="B20" s="1" t="s">
        <v>76</v>
      </c>
      <c r="C20" s="35" t="s">
        <v>54</v>
      </c>
      <c r="D20" s="35" t="s">
        <v>55</v>
      </c>
    </row>
    <row r="21" spans="1:4" x14ac:dyDescent="0.3">
      <c r="A21" s="41"/>
      <c r="B21" s="1" t="s">
        <v>77</v>
      </c>
      <c r="C21" s="35" t="s">
        <v>78</v>
      </c>
      <c r="D21" s="35" t="s">
        <v>55</v>
      </c>
    </row>
    <row r="22" spans="1:4" x14ac:dyDescent="0.3">
      <c r="A22" s="41"/>
      <c r="B22" s="1" t="s">
        <v>79</v>
      </c>
      <c r="C22" s="35" t="s">
        <v>54</v>
      </c>
      <c r="D22" s="35" t="s">
        <v>55</v>
      </c>
    </row>
    <row r="23" spans="1:4" x14ac:dyDescent="0.3">
      <c r="A23" s="41"/>
      <c r="B23" s="1" t="s">
        <v>80</v>
      </c>
      <c r="C23" s="35" t="s">
        <v>59</v>
      </c>
      <c r="D23" s="35" t="s">
        <v>55</v>
      </c>
    </row>
    <row r="24" spans="1:4" x14ac:dyDescent="0.3">
      <c r="A24" s="41"/>
      <c r="B24" s="1" t="s">
        <v>81</v>
      </c>
      <c r="C24" s="35" t="s">
        <v>54</v>
      </c>
      <c r="D24" s="35" t="s">
        <v>55</v>
      </c>
    </row>
    <row r="25" spans="1:4" x14ac:dyDescent="0.3">
      <c r="A25" s="41"/>
      <c r="B25" s="1" t="s">
        <v>82</v>
      </c>
      <c r="C25" s="35" t="s">
        <v>54</v>
      </c>
      <c r="D25" s="35" t="s">
        <v>55</v>
      </c>
    </row>
    <row r="26" spans="1:4" x14ac:dyDescent="0.3">
      <c r="A26" s="41"/>
      <c r="B26" s="1" t="s">
        <v>83</v>
      </c>
      <c r="C26" s="35" t="s">
        <v>57</v>
      </c>
      <c r="D26" s="35" t="s">
        <v>55</v>
      </c>
    </row>
    <row r="27" spans="1:4" x14ac:dyDescent="0.3">
      <c r="A27" s="41"/>
      <c r="B27" s="1" t="s">
        <v>84</v>
      </c>
      <c r="C27" s="35" t="s">
        <v>54</v>
      </c>
      <c r="D27" s="35" t="s">
        <v>55</v>
      </c>
    </row>
    <row r="28" spans="1:4" x14ac:dyDescent="0.3">
      <c r="A28" s="41" t="s">
        <v>85</v>
      </c>
      <c r="B28" s="1" t="s">
        <v>86</v>
      </c>
      <c r="C28" s="35" t="s">
        <v>54</v>
      </c>
      <c r="D28" s="35" t="s">
        <v>55</v>
      </c>
    </row>
    <row r="29" spans="1:4" x14ac:dyDescent="0.3">
      <c r="A29" s="41"/>
      <c r="B29" s="1" t="s">
        <v>87</v>
      </c>
      <c r="C29" s="35" t="s">
        <v>71</v>
      </c>
      <c r="D29" s="35" t="s">
        <v>55</v>
      </c>
    </row>
    <row r="30" spans="1:4" x14ac:dyDescent="0.3">
      <c r="A30" s="41"/>
      <c r="B30" s="1" t="s">
        <v>88</v>
      </c>
      <c r="C30" s="35" t="s">
        <v>54</v>
      </c>
      <c r="D30" s="35" t="s">
        <v>55</v>
      </c>
    </row>
    <row r="31" spans="1:4" x14ac:dyDescent="0.3">
      <c r="A31" s="41"/>
      <c r="B31" s="1" t="s">
        <v>89</v>
      </c>
      <c r="C31" s="35" t="s">
        <v>59</v>
      </c>
      <c r="D31" s="35" t="s">
        <v>55</v>
      </c>
    </row>
    <row r="32" spans="1:4" x14ac:dyDescent="0.3">
      <c r="A32" s="41"/>
      <c r="B32" s="1" t="s">
        <v>90</v>
      </c>
      <c r="C32" s="35" t="s">
        <v>54</v>
      </c>
      <c r="D32" s="35" t="s">
        <v>55</v>
      </c>
    </row>
    <row r="33" spans="1:4" x14ac:dyDescent="0.3">
      <c r="A33" s="41"/>
      <c r="B33" s="1" t="s">
        <v>91</v>
      </c>
      <c r="C33" s="35" t="s">
        <v>71</v>
      </c>
      <c r="D33" s="35" t="s">
        <v>55</v>
      </c>
    </row>
    <row r="34" spans="1:4" x14ac:dyDescent="0.3">
      <c r="A34" s="41"/>
      <c r="B34" s="1" t="s">
        <v>92</v>
      </c>
      <c r="C34" s="35" t="s">
        <v>54</v>
      </c>
      <c r="D34" s="35" t="s">
        <v>55</v>
      </c>
    </row>
    <row r="35" spans="1:4" x14ac:dyDescent="0.3">
      <c r="A35" s="41"/>
      <c r="B35" s="1" t="s">
        <v>93</v>
      </c>
      <c r="C35" s="35" t="s">
        <v>57</v>
      </c>
      <c r="D35" s="35" t="s">
        <v>55</v>
      </c>
    </row>
    <row r="36" spans="1:4" x14ac:dyDescent="0.3">
      <c r="A36" s="41"/>
      <c r="B36" s="1" t="s">
        <v>94</v>
      </c>
      <c r="C36" s="35" t="s">
        <v>54</v>
      </c>
      <c r="D36" s="35" t="s">
        <v>55</v>
      </c>
    </row>
    <row r="37" spans="1:4" x14ac:dyDescent="0.3">
      <c r="A37" s="41"/>
      <c r="B37" s="1" t="s">
        <v>95</v>
      </c>
      <c r="C37" s="35" t="s">
        <v>54</v>
      </c>
      <c r="D37" s="35" t="s">
        <v>55</v>
      </c>
    </row>
    <row r="38" spans="1:4" x14ac:dyDescent="0.3">
      <c r="A38" s="41"/>
      <c r="B38" s="1" t="s">
        <v>96</v>
      </c>
      <c r="C38" s="35" t="s">
        <v>71</v>
      </c>
      <c r="D38" s="35" t="s">
        <v>55</v>
      </c>
    </row>
    <row r="39" spans="1:4" x14ac:dyDescent="0.3">
      <c r="A39" s="41"/>
      <c r="B39" s="1" t="s">
        <v>97</v>
      </c>
      <c r="C39" s="35" t="s">
        <v>59</v>
      </c>
      <c r="D39" s="35" t="s">
        <v>55</v>
      </c>
    </row>
    <row r="40" spans="1:4" x14ac:dyDescent="0.3">
      <c r="A40" s="41"/>
      <c r="B40" s="1" t="s">
        <v>98</v>
      </c>
      <c r="C40" s="35" t="s">
        <v>54</v>
      </c>
      <c r="D40" s="35" t="s">
        <v>55</v>
      </c>
    </row>
    <row r="41" spans="1:4" x14ac:dyDescent="0.3">
      <c r="A41" s="41"/>
      <c r="B41" s="1" t="s">
        <v>99</v>
      </c>
      <c r="C41" s="35" t="s">
        <v>57</v>
      </c>
      <c r="D41" s="35" t="s">
        <v>55</v>
      </c>
    </row>
  </sheetData>
  <mergeCells count="4">
    <mergeCell ref="A3:A9"/>
    <mergeCell ref="A10:A27"/>
    <mergeCell ref="A28:A41"/>
    <mergeCell ref="A1:D1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0"/>
  <sheetViews>
    <sheetView workbookViewId="0">
      <selection sqref="A1:I120"/>
    </sheetView>
  </sheetViews>
  <sheetFormatPr defaultColWidth="8.6640625" defaultRowHeight="14" x14ac:dyDescent="0.3"/>
  <cols>
    <col min="2" max="2" width="32.1640625" customWidth="1"/>
    <col min="3" max="3" width="17.4140625" customWidth="1"/>
    <col min="8" max="8" width="14.33203125" customWidth="1"/>
  </cols>
  <sheetData>
    <row r="1" spans="1:9" x14ac:dyDescent="0.3">
      <c r="A1" s="46" t="s">
        <v>929</v>
      </c>
      <c r="B1" s="42"/>
      <c r="C1" s="43"/>
      <c r="D1" s="43"/>
      <c r="E1" s="43"/>
      <c r="F1" s="43"/>
      <c r="G1" s="44"/>
      <c r="H1" s="43"/>
      <c r="I1" s="45"/>
    </row>
    <row r="2" spans="1:9" x14ac:dyDescent="0.3">
      <c r="A2" s="4" t="s">
        <v>100</v>
      </c>
      <c r="B2" s="5" t="s">
        <v>49</v>
      </c>
      <c r="C2" s="4" t="s">
        <v>101</v>
      </c>
      <c r="D2" s="4" t="s">
        <v>102</v>
      </c>
      <c r="E2" s="4" t="s">
        <v>103</v>
      </c>
      <c r="F2" s="4" t="s">
        <v>104</v>
      </c>
      <c r="G2" s="22" t="s">
        <v>105</v>
      </c>
      <c r="H2" s="4" t="s">
        <v>106</v>
      </c>
      <c r="I2" s="4" t="s">
        <v>107</v>
      </c>
    </row>
    <row r="3" spans="1:9" x14ac:dyDescent="0.3">
      <c r="A3" s="23" t="s">
        <v>108</v>
      </c>
      <c r="B3" s="5" t="s">
        <v>109</v>
      </c>
      <c r="C3" s="4" t="s">
        <v>110</v>
      </c>
      <c r="D3" s="4" t="s">
        <v>111</v>
      </c>
      <c r="E3" s="4">
        <v>1</v>
      </c>
      <c r="F3" s="4">
        <v>1</v>
      </c>
      <c r="G3" s="22">
        <f t="shared" ref="G3:G66" si="0">E3-F3</f>
        <v>0</v>
      </c>
      <c r="H3" s="4" t="s">
        <v>112</v>
      </c>
      <c r="I3" s="4"/>
    </row>
    <row r="4" spans="1:9" x14ac:dyDescent="0.3">
      <c r="A4" s="23" t="s">
        <v>113</v>
      </c>
      <c r="B4" s="5" t="s">
        <v>114</v>
      </c>
      <c r="C4" s="4" t="s">
        <v>115</v>
      </c>
      <c r="D4" s="4" t="s">
        <v>111</v>
      </c>
      <c r="E4" s="4">
        <v>1</v>
      </c>
      <c r="F4" s="4">
        <v>1</v>
      </c>
      <c r="G4" s="22">
        <f t="shared" si="0"/>
        <v>0</v>
      </c>
      <c r="H4" s="4" t="s">
        <v>112</v>
      </c>
      <c r="I4" s="4"/>
    </row>
    <row r="5" spans="1:9" x14ac:dyDescent="0.3">
      <c r="A5" s="23" t="s">
        <v>116</v>
      </c>
      <c r="B5" s="5" t="s">
        <v>117</v>
      </c>
      <c r="C5" s="4" t="s">
        <v>118</v>
      </c>
      <c r="D5" s="4" t="s">
        <v>111</v>
      </c>
      <c r="E5" s="4">
        <v>5</v>
      </c>
      <c r="F5" s="4">
        <v>5</v>
      </c>
      <c r="G5" s="22">
        <f t="shared" si="0"/>
        <v>0</v>
      </c>
      <c r="H5" s="4" t="s">
        <v>112</v>
      </c>
      <c r="I5" s="4"/>
    </row>
    <row r="6" spans="1:9" x14ac:dyDescent="0.3">
      <c r="A6" s="23" t="s">
        <v>119</v>
      </c>
      <c r="B6" s="5" t="s">
        <v>120</v>
      </c>
      <c r="C6" s="4" t="s">
        <v>121</v>
      </c>
      <c r="D6" s="4" t="s">
        <v>111</v>
      </c>
      <c r="E6" s="4">
        <v>1</v>
      </c>
      <c r="F6" s="4">
        <v>1</v>
      </c>
      <c r="G6" s="22">
        <f t="shared" si="0"/>
        <v>0</v>
      </c>
      <c r="H6" s="4" t="s">
        <v>112</v>
      </c>
      <c r="I6" s="4"/>
    </row>
    <row r="7" spans="1:9" x14ac:dyDescent="0.3">
      <c r="A7" s="23" t="s">
        <v>122</v>
      </c>
      <c r="B7" s="5" t="s">
        <v>123</v>
      </c>
      <c r="C7" s="4" t="s">
        <v>124</v>
      </c>
      <c r="D7" s="4" t="s">
        <v>111</v>
      </c>
      <c r="E7" s="4">
        <v>1</v>
      </c>
      <c r="F7" s="4">
        <v>1</v>
      </c>
      <c r="G7" s="22">
        <f t="shared" si="0"/>
        <v>0</v>
      </c>
      <c r="H7" s="4" t="s">
        <v>112</v>
      </c>
      <c r="I7" s="4"/>
    </row>
    <row r="8" spans="1:9" x14ac:dyDescent="0.3">
      <c r="A8" s="23" t="s">
        <v>125</v>
      </c>
      <c r="B8" s="5" t="s">
        <v>126</v>
      </c>
      <c r="C8" s="4" t="s">
        <v>124</v>
      </c>
      <c r="D8" s="4" t="s">
        <v>111</v>
      </c>
      <c r="E8" s="4">
        <v>8</v>
      </c>
      <c r="F8" s="4">
        <v>8</v>
      </c>
      <c r="G8" s="22">
        <f t="shared" si="0"/>
        <v>0</v>
      </c>
      <c r="H8" s="4" t="s">
        <v>112</v>
      </c>
      <c r="I8" s="4"/>
    </row>
    <row r="9" spans="1:9" x14ac:dyDescent="0.3">
      <c r="A9" s="23" t="s">
        <v>127</v>
      </c>
      <c r="B9" s="5" t="s">
        <v>128</v>
      </c>
      <c r="C9" s="4" t="s">
        <v>129</v>
      </c>
      <c r="D9" s="4" t="s">
        <v>111</v>
      </c>
      <c r="E9" s="4">
        <v>1</v>
      </c>
      <c r="F9" s="4">
        <v>1</v>
      </c>
      <c r="G9" s="22">
        <f t="shared" si="0"/>
        <v>0</v>
      </c>
      <c r="H9" s="4" t="s">
        <v>112</v>
      </c>
      <c r="I9" s="4"/>
    </row>
    <row r="10" spans="1:9" x14ac:dyDescent="0.3">
      <c r="A10" s="23" t="s">
        <v>130</v>
      </c>
      <c r="B10" s="5" t="s">
        <v>131</v>
      </c>
      <c r="C10" s="4" t="s">
        <v>132</v>
      </c>
      <c r="D10" s="4" t="s">
        <v>111</v>
      </c>
      <c r="E10" s="4">
        <f>SUMIF([1]入库明细!C:C,B10,[1]入库明细!H:H)</f>
        <v>12</v>
      </c>
      <c r="F10" s="4">
        <f>SUMIF([1]出库明细!C:C,B10,[1]出库明细!H:H)</f>
        <v>12</v>
      </c>
      <c r="G10" s="22">
        <f t="shared" si="0"/>
        <v>0</v>
      </c>
      <c r="H10" s="4" t="s">
        <v>112</v>
      </c>
      <c r="I10" s="4"/>
    </row>
    <row r="11" spans="1:9" x14ac:dyDescent="0.3">
      <c r="A11" s="23" t="s">
        <v>133</v>
      </c>
      <c r="B11" s="5" t="s">
        <v>134</v>
      </c>
      <c r="C11" s="4" t="s">
        <v>135</v>
      </c>
      <c r="D11" s="4" t="s">
        <v>111</v>
      </c>
      <c r="E11" s="4">
        <f>SUMIF([1]入库明细!C:C,B11,[1]入库明细!H:H)</f>
        <v>1</v>
      </c>
      <c r="F11" s="4">
        <f>SUMIF([1]出库明细!C:C,B11,[1]出库明细!H:H)</f>
        <v>1</v>
      </c>
      <c r="G11" s="22">
        <f t="shared" si="0"/>
        <v>0</v>
      </c>
      <c r="H11" s="4" t="s">
        <v>112</v>
      </c>
      <c r="I11" s="4"/>
    </row>
    <row r="12" spans="1:9" x14ac:dyDescent="0.3">
      <c r="A12" s="23" t="s">
        <v>136</v>
      </c>
      <c r="B12" s="5" t="s">
        <v>137</v>
      </c>
      <c r="C12" s="4" t="s">
        <v>138</v>
      </c>
      <c r="D12" s="4" t="s">
        <v>111</v>
      </c>
      <c r="E12" s="4">
        <f>SUMIF([1]入库明细!C:C,B12,[1]入库明细!H:H)</f>
        <v>1</v>
      </c>
      <c r="F12" s="4">
        <f>SUMIF([1]出库明细!C:C,B12,[1]出库明细!H:H)</f>
        <v>1</v>
      </c>
      <c r="G12" s="22">
        <f t="shared" si="0"/>
        <v>0</v>
      </c>
      <c r="H12" s="4" t="s">
        <v>112</v>
      </c>
      <c r="I12" s="4"/>
    </row>
    <row r="13" spans="1:9" x14ac:dyDescent="0.3">
      <c r="A13" s="23" t="s">
        <v>139</v>
      </c>
      <c r="B13" s="5" t="s">
        <v>140</v>
      </c>
      <c r="C13" s="4" t="s">
        <v>141</v>
      </c>
      <c r="D13" s="4" t="s">
        <v>142</v>
      </c>
      <c r="E13" s="4">
        <f>SUMIF([1]入库明细!C:C,B13,[1]入库明细!H:H)</f>
        <v>1</v>
      </c>
      <c r="F13" s="4">
        <f>SUMIF([1]出库明细!C:C,B13,[1]出库明细!H:H)</f>
        <v>1</v>
      </c>
      <c r="G13" s="22">
        <f t="shared" si="0"/>
        <v>0</v>
      </c>
      <c r="H13" s="4" t="s">
        <v>112</v>
      </c>
      <c r="I13" s="4"/>
    </row>
    <row r="14" spans="1:9" x14ac:dyDescent="0.3">
      <c r="A14" s="23" t="s">
        <v>143</v>
      </c>
      <c r="B14" s="5" t="s">
        <v>144</v>
      </c>
      <c r="C14" s="24" t="s">
        <v>145</v>
      </c>
      <c r="D14" s="4" t="s">
        <v>146</v>
      </c>
      <c r="E14" s="4">
        <f>SUMIF([1]入库明细!C:C,B14,[1]入库明细!H:H)</f>
        <v>2</v>
      </c>
      <c r="F14" s="4">
        <f>SUMIF([1]出库明细!C:C,B14,[1]出库明细!H:H)</f>
        <v>1</v>
      </c>
      <c r="G14" s="22">
        <f t="shared" si="0"/>
        <v>1</v>
      </c>
      <c r="H14" s="4" t="s">
        <v>112</v>
      </c>
      <c r="I14" s="4" t="s">
        <v>147</v>
      </c>
    </row>
    <row r="15" spans="1:9" x14ac:dyDescent="0.3">
      <c r="A15" s="23" t="s">
        <v>148</v>
      </c>
      <c r="B15" s="24" t="s">
        <v>149</v>
      </c>
      <c r="C15" s="25" t="s">
        <v>150</v>
      </c>
      <c r="D15" s="4" t="s">
        <v>111</v>
      </c>
      <c r="E15" s="4">
        <f>SUMIF([1]入库明细!C:C,B15,[1]入库明细!H:H)</f>
        <v>1</v>
      </c>
      <c r="F15" s="4">
        <f>SUMIF([1]出库明细!C:C,B15,[1]出库明细!H:H)</f>
        <v>1</v>
      </c>
      <c r="G15" s="22">
        <f t="shared" si="0"/>
        <v>0</v>
      </c>
      <c r="H15" s="4" t="s">
        <v>112</v>
      </c>
      <c r="I15" s="4"/>
    </row>
    <row r="16" spans="1:9" x14ac:dyDescent="0.3">
      <c r="A16" s="23" t="s">
        <v>151</v>
      </c>
      <c r="B16" s="24" t="s">
        <v>152</v>
      </c>
      <c r="C16" s="26" t="s">
        <v>153</v>
      </c>
      <c r="D16" s="4" t="s">
        <v>111</v>
      </c>
      <c r="E16" s="4">
        <f>SUMIF([1]入库明细!C:C,B16,[1]入库明细!H:H)</f>
        <v>1</v>
      </c>
      <c r="F16" s="4">
        <f>SUMIF([1]出库明细!C:C,B16,[1]出库明细!H:H)</f>
        <v>1</v>
      </c>
      <c r="G16" s="22">
        <f t="shared" si="0"/>
        <v>0</v>
      </c>
      <c r="H16" s="4" t="s">
        <v>112</v>
      </c>
      <c r="I16" s="4"/>
    </row>
    <row r="17" spans="1:9" ht="28.5" x14ac:dyDescent="0.3">
      <c r="A17" s="23" t="s">
        <v>154</v>
      </c>
      <c r="B17" s="24" t="s">
        <v>155</v>
      </c>
      <c r="C17" s="24" t="s">
        <v>156</v>
      </c>
      <c r="D17" s="4" t="s">
        <v>111</v>
      </c>
      <c r="E17" s="4">
        <f>SUMIF([1]入库明细!C:C,B17,[1]入库明细!H:H)</f>
        <v>2</v>
      </c>
      <c r="F17" s="4">
        <f>SUMIF([1]出库明细!C:C,B17,[1]出库明细!H:H)</f>
        <v>2</v>
      </c>
      <c r="G17" s="22">
        <f t="shared" si="0"/>
        <v>0</v>
      </c>
      <c r="H17" s="4" t="s">
        <v>112</v>
      </c>
      <c r="I17" s="4"/>
    </row>
    <row r="18" spans="1:9" x14ac:dyDescent="0.3">
      <c r="A18" s="23" t="s">
        <v>157</v>
      </c>
      <c r="B18" s="5" t="s">
        <v>158</v>
      </c>
      <c r="C18" s="4" t="s">
        <v>124</v>
      </c>
      <c r="D18" s="4" t="s">
        <v>111</v>
      </c>
      <c r="E18" s="4">
        <f>SUMIF([1]入库明细!C:C,B18,[1]入库明细!H:H)</f>
        <v>1</v>
      </c>
      <c r="F18" s="4">
        <f>SUMIF([1]出库明细!C:C,B18,[1]出库明细!H:H)</f>
        <v>1</v>
      </c>
      <c r="G18" s="22">
        <f t="shared" si="0"/>
        <v>0</v>
      </c>
      <c r="H18" s="4" t="s">
        <v>112</v>
      </c>
      <c r="I18" s="4"/>
    </row>
    <row r="19" spans="1:9" x14ac:dyDescent="0.3">
      <c r="A19" s="23" t="s">
        <v>159</v>
      </c>
      <c r="B19" s="5" t="s">
        <v>160</v>
      </c>
      <c r="C19" s="4" t="s">
        <v>124</v>
      </c>
      <c r="D19" s="4" t="s">
        <v>111</v>
      </c>
      <c r="E19" s="4">
        <f>SUMIF([1]入库明细!C:C,B19,[1]入库明细!H:H)</f>
        <v>4</v>
      </c>
      <c r="F19" s="4">
        <f>SUMIF([1]出库明细!C:C,B19,[1]出库明细!H:H)</f>
        <v>4</v>
      </c>
      <c r="G19" s="22">
        <f t="shared" si="0"/>
        <v>0</v>
      </c>
      <c r="H19" s="4" t="s">
        <v>112</v>
      </c>
      <c r="I19" s="4"/>
    </row>
    <row r="20" spans="1:9" x14ac:dyDescent="0.3">
      <c r="A20" s="23" t="s">
        <v>161</v>
      </c>
      <c r="B20" s="5" t="s">
        <v>162</v>
      </c>
      <c r="C20" s="4" t="s">
        <v>124</v>
      </c>
      <c r="D20" s="4" t="s">
        <v>111</v>
      </c>
      <c r="E20" s="4">
        <f>SUMIF([1]入库明细!C:C,B20,[1]入库明细!H:H)</f>
        <v>2</v>
      </c>
      <c r="F20" s="4">
        <f>SUMIF([1]出库明细!C:C,B20,[1]出库明细!H:H)</f>
        <v>2</v>
      </c>
      <c r="G20" s="22">
        <f t="shared" si="0"/>
        <v>0</v>
      </c>
      <c r="H20" s="4" t="s">
        <v>112</v>
      </c>
      <c r="I20" s="4"/>
    </row>
    <row r="21" spans="1:9" x14ac:dyDescent="0.3">
      <c r="A21" s="23" t="s">
        <v>163</v>
      </c>
      <c r="B21" s="5" t="s">
        <v>164</v>
      </c>
      <c r="C21" s="4" t="s">
        <v>165</v>
      </c>
      <c r="D21" s="4" t="s">
        <v>166</v>
      </c>
      <c r="E21" s="4">
        <f>SUMIF([1]入库明细!C:C,B21,[1]入库明细!H:H)</f>
        <v>246.91</v>
      </c>
      <c r="F21" s="4">
        <f>SUMIF([1]出库明细!C:C,B21,[1]出库明细!H:H)</f>
        <v>246.91</v>
      </c>
      <c r="G21" s="22">
        <f t="shared" si="0"/>
        <v>0</v>
      </c>
      <c r="H21" s="4" t="s">
        <v>167</v>
      </c>
      <c r="I21" s="4"/>
    </row>
    <row r="22" spans="1:9" x14ac:dyDescent="0.3">
      <c r="A22" s="23" t="s">
        <v>168</v>
      </c>
      <c r="B22" s="5" t="s">
        <v>169</v>
      </c>
      <c r="C22" s="27">
        <v>0.99</v>
      </c>
      <c r="D22" s="4" t="s">
        <v>132</v>
      </c>
      <c r="E22" s="4">
        <f>SUMIF([1]入库明细!C:C,B22,[1]入库明细!H:H)</f>
        <v>4</v>
      </c>
      <c r="F22" s="4">
        <f>SUMIF([1]出库明细!C:C,B22,[1]出库明细!H:H)</f>
        <v>4</v>
      </c>
      <c r="G22" s="22">
        <f t="shared" si="0"/>
        <v>0</v>
      </c>
      <c r="H22" s="4" t="s">
        <v>167</v>
      </c>
      <c r="I22" s="4"/>
    </row>
    <row r="23" spans="1:9" x14ac:dyDescent="0.3">
      <c r="A23" s="23" t="s">
        <v>170</v>
      </c>
      <c r="B23" s="5" t="s">
        <v>171</v>
      </c>
      <c r="C23" s="27">
        <v>0.99</v>
      </c>
      <c r="D23" s="4" t="s">
        <v>132</v>
      </c>
      <c r="E23" s="4">
        <f>SUMIF([1]入库明细!C:C,B23,[1]入库明细!H:H)</f>
        <v>5</v>
      </c>
      <c r="F23" s="4">
        <f>SUMIF([1]出库明细!C:C,B23,[1]出库明细!H:H)</f>
        <v>5</v>
      </c>
      <c r="G23" s="22">
        <f t="shared" si="0"/>
        <v>0</v>
      </c>
      <c r="H23" s="4" t="s">
        <v>167</v>
      </c>
      <c r="I23" s="4"/>
    </row>
    <row r="24" spans="1:9" x14ac:dyDescent="0.3">
      <c r="A24" s="23" t="s">
        <v>172</v>
      </c>
      <c r="B24" s="5" t="s">
        <v>173</v>
      </c>
      <c r="C24" s="27">
        <v>0.99</v>
      </c>
      <c r="D24" s="4" t="s">
        <v>132</v>
      </c>
      <c r="E24" s="4">
        <f>SUMIF([1]入库明细!C:C,B24,[1]入库明细!H:H)</f>
        <v>2</v>
      </c>
      <c r="F24" s="4">
        <f>SUMIF([1]出库明细!C:C,B24,[1]出库明细!H:H)</f>
        <v>2</v>
      </c>
      <c r="G24" s="22">
        <f t="shared" si="0"/>
        <v>0</v>
      </c>
      <c r="H24" s="4" t="s">
        <v>167</v>
      </c>
      <c r="I24" s="4"/>
    </row>
    <row r="25" spans="1:9" x14ac:dyDescent="0.3">
      <c r="A25" s="23" t="s">
        <v>174</v>
      </c>
      <c r="B25" s="5" t="s">
        <v>175</v>
      </c>
      <c r="C25" s="28">
        <v>0.95</v>
      </c>
      <c r="D25" s="4" t="s">
        <v>176</v>
      </c>
      <c r="E25" s="4">
        <f>SUMIF([1]入库明细!C:C,B25,[1]入库明细!H:H)</f>
        <v>1</v>
      </c>
      <c r="F25" s="4">
        <f>SUMIF([1]出库明细!C:C,B25,[1]出库明细!H:H)</f>
        <v>1</v>
      </c>
      <c r="G25" s="22">
        <f t="shared" si="0"/>
        <v>0</v>
      </c>
      <c r="H25" s="4" t="s">
        <v>167</v>
      </c>
      <c r="I25" s="4"/>
    </row>
    <row r="26" spans="1:9" x14ac:dyDescent="0.3">
      <c r="A26" s="23" t="s">
        <v>177</v>
      </c>
      <c r="B26" s="5" t="s">
        <v>178</v>
      </c>
      <c r="C26" s="4" t="s">
        <v>124</v>
      </c>
      <c r="D26" s="4" t="s">
        <v>138</v>
      </c>
      <c r="E26" s="4">
        <f>SUMIF([1]入库明细!C:C,B26,[1]入库明细!H:H)</f>
        <v>1</v>
      </c>
      <c r="F26" s="4">
        <f>SUMIF([1]出库明细!C:C,B26,[1]出库明细!H:H)</f>
        <v>1</v>
      </c>
      <c r="G26" s="22">
        <f t="shared" si="0"/>
        <v>0</v>
      </c>
      <c r="H26" s="4" t="s">
        <v>167</v>
      </c>
      <c r="I26" s="4"/>
    </row>
    <row r="27" spans="1:9" x14ac:dyDescent="0.3">
      <c r="A27" s="23" t="s">
        <v>179</v>
      </c>
      <c r="B27" s="5" t="s">
        <v>180</v>
      </c>
      <c r="C27" s="28">
        <v>0.95</v>
      </c>
      <c r="D27" s="4" t="s">
        <v>176</v>
      </c>
      <c r="E27" s="4">
        <f>SUMIF([1]入库明细!C:C,B27,[1]入库明细!H:H)</f>
        <v>4</v>
      </c>
      <c r="F27" s="4">
        <f>SUMIF([1]出库明细!C:C,B27,[1]出库明细!H:H)</f>
        <v>4</v>
      </c>
      <c r="G27" s="22">
        <f t="shared" si="0"/>
        <v>0</v>
      </c>
      <c r="H27" s="4" t="s">
        <v>167</v>
      </c>
      <c r="I27" s="4"/>
    </row>
    <row r="28" spans="1:9" x14ac:dyDescent="0.3">
      <c r="A28" s="23" t="s">
        <v>181</v>
      </c>
      <c r="B28" s="5" t="s">
        <v>182</v>
      </c>
      <c r="C28" s="4" t="s">
        <v>183</v>
      </c>
      <c r="D28" s="4" t="s">
        <v>184</v>
      </c>
      <c r="E28" s="4">
        <f>SUMIF([1]入库明细!C:C,B28,[1]入库明细!H:H)</f>
        <v>2</v>
      </c>
      <c r="F28" s="4">
        <f>SUMIF([1]出库明细!C:C,B28,[1]出库明细!H:H)</f>
        <v>2</v>
      </c>
      <c r="G28" s="22">
        <f t="shared" si="0"/>
        <v>0</v>
      </c>
      <c r="H28" s="4" t="s">
        <v>167</v>
      </c>
      <c r="I28" s="4"/>
    </row>
    <row r="29" spans="1:9" x14ac:dyDescent="0.3">
      <c r="A29" s="23" t="s">
        <v>185</v>
      </c>
      <c r="B29" s="5" t="s">
        <v>186</v>
      </c>
      <c r="C29" s="4" t="s">
        <v>187</v>
      </c>
      <c r="D29" s="4" t="s">
        <v>111</v>
      </c>
      <c r="E29" s="4">
        <f>SUMIF([1]入库明细!C:C,B29,[1]入库明细!H:H)</f>
        <v>5</v>
      </c>
      <c r="F29" s="4">
        <f>SUMIF([1]出库明细!C:C,B29,[1]出库明细!H:H)</f>
        <v>5</v>
      </c>
      <c r="G29" s="22">
        <f t="shared" si="0"/>
        <v>0</v>
      </c>
      <c r="H29" s="4" t="s">
        <v>167</v>
      </c>
      <c r="I29" s="4"/>
    </row>
    <row r="30" spans="1:9" x14ac:dyDescent="0.3">
      <c r="A30" s="23" t="s">
        <v>188</v>
      </c>
      <c r="B30" s="5" t="s">
        <v>189</v>
      </c>
      <c r="C30" s="4" t="s">
        <v>190</v>
      </c>
      <c r="D30" s="4" t="s">
        <v>111</v>
      </c>
      <c r="E30" s="4">
        <f>SUMIF([1]入库明细!C:C,B30,[1]入库明细!H:H)</f>
        <v>5</v>
      </c>
      <c r="F30" s="4">
        <f>SUMIF([1]出库明细!C:C,B30,[1]出库明细!H:H)</f>
        <v>5</v>
      </c>
      <c r="G30" s="22">
        <f t="shared" si="0"/>
        <v>0</v>
      </c>
      <c r="H30" s="4" t="s">
        <v>167</v>
      </c>
      <c r="I30" s="4"/>
    </row>
    <row r="31" spans="1:9" x14ac:dyDescent="0.3">
      <c r="A31" s="23" t="s">
        <v>191</v>
      </c>
      <c r="B31" s="5" t="s">
        <v>192</v>
      </c>
      <c r="C31" s="4" t="s">
        <v>193</v>
      </c>
      <c r="D31" s="4" t="s">
        <v>111</v>
      </c>
      <c r="E31" s="4">
        <f>SUMIF([1]入库明细!C:C,B31,[1]入库明细!H:H)</f>
        <v>5</v>
      </c>
      <c r="F31" s="4">
        <f>SUMIF([1]出库明细!C:C,B31,[1]出库明细!H:H)</f>
        <v>5</v>
      </c>
      <c r="G31" s="22">
        <f t="shared" si="0"/>
        <v>0</v>
      </c>
      <c r="H31" s="4" t="s">
        <v>167</v>
      </c>
      <c r="I31" s="4"/>
    </row>
    <row r="32" spans="1:9" x14ac:dyDescent="0.3">
      <c r="A32" s="23" t="s">
        <v>194</v>
      </c>
      <c r="B32" s="5" t="s">
        <v>195</v>
      </c>
      <c r="C32" s="4" t="s">
        <v>196</v>
      </c>
      <c r="D32" s="4" t="s">
        <v>111</v>
      </c>
      <c r="E32" s="4">
        <f>SUMIF([1]入库明细!C:C,B32,[1]入库明细!H:H)</f>
        <v>5</v>
      </c>
      <c r="F32" s="4">
        <f>SUMIF([1]出库明细!C:C,B32,[1]出库明细!H:H)</f>
        <v>5</v>
      </c>
      <c r="G32" s="22">
        <f t="shared" si="0"/>
        <v>0</v>
      </c>
      <c r="H32" s="4" t="s">
        <v>167</v>
      </c>
      <c r="I32" s="4"/>
    </row>
    <row r="33" spans="1:9" x14ac:dyDescent="0.3">
      <c r="A33" s="23" t="s">
        <v>197</v>
      </c>
      <c r="B33" s="5" t="s">
        <v>198</v>
      </c>
      <c r="C33" s="4" t="s">
        <v>199</v>
      </c>
      <c r="D33" s="4" t="s">
        <v>111</v>
      </c>
      <c r="E33" s="4">
        <f>SUMIF([1]入库明细!C:C,B33,[1]入库明细!H:H)</f>
        <v>5</v>
      </c>
      <c r="F33" s="4">
        <f>SUMIF([1]出库明细!C:C,B33,[1]出库明细!H:H)</f>
        <v>5</v>
      </c>
      <c r="G33" s="22">
        <f t="shared" si="0"/>
        <v>0</v>
      </c>
      <c r="H33" s="4" t="s">
        <v>167</v>
      </c>
      <c r="I33" s="4"/>
    </row>
    <row r="34" spans="1:9" x14ac:dyDescent="0.3">
      <c r="A34" s="23" t="s">
        <v>200</v>
      </c>
      <c r="B34" s="5" t="s">
        <v>201</v>
      </c>
      <c r="C34" s="4" t="s">
        <v>187</v>
      </c>
      <c r="D34" s="4" t="s">
        <v>111</v>
      </c>
      <c r="E34" s="4">
        <f>SUMIF([1]入库明细!C:C,B34,[1]入库明细!H:H)</f>
        <v>4</v>
      </c>
      <c r="F34" s="4">
        <f>SUMIF([1]出库明细!C:C,B34,[1]出库明细!H:H)</f>
        <v>4</v>
      </c>
      <c r="G34" s="22">
        <f t="shared" si="0"/>
        <v>0</v>
      </c>
      <c r="H34" s="4" t="s">
        <v>167</v>
      </c>
      <c r="I34" s="4"/>
    </row>
    <row r="35" spans="1:9" x14ac:dyDescent="0.3">
      <c r="A35" s="23" t="s">
        <v>202</v>
      </c>
      <c r="B35" s="5" t="s">
        <v>203</v>
      </c>
      <c r="C35" s="4" t="s">
        <v>190</v>
      </c>
      <c r="D35" s="4" t="s">
        <v>111</v>
      </c>
      <c r="E35" s="4">
        <f>SUMIF([1]入库明细!C:C,B35,[1]入库明细!H:H)</f>
        <v>10</v>
      </c>
      <c r="F35" s="4">
        <f>SUMIF([1]出库明细!C:C,B35,[1]出库明细!H:H)</f>
        <v>10</v>
      </c>
      <c r="G35" s="22">
        <f t="shared" si="0"/>
        <v>0</v>
      </c>
      <c r="H35" s="4" t="s">
        <v>167</v>
      </c>
      <c r="I35" s="4"/>
    </row>
    <row r="36" spans="1:9" x14ac:dyDescent="0.3">
      <c r="A36" s="23" t="s">
        <v>204</v>
      </c>
      <c r="B36" s="5" t="s">
        <v>205</v>
      </c>
      <c r="C36" s="4" t="s">
        <v>206</v>
      </c>
      <c r="D36" s="4" t="s">
        <v>111</v>
      </c>
      <c r="E36" s="4">
        <f>SUMIF([1]入库明细!C:C,B36,[1]入库明细!H:H)</f>
        <v>12</v>
      </c>
      <c r="F36" s="4">
        <f>SUMIF([1]出库明细!C:C,B36,[1]出库明细!H:H)</f>
        <v>12</v>
      </c>
      <c r="G36" s="22">
        <f t="shared" si="0"/>
        <v>0</v>
      </c>
      <c r="H36" s="4" t="s">
        <v>167</v>
      </c>
      <c r="I36" s="4"/>
    </row>
    <row r="37" spans="1:9" x14ac:dyDescent="0.3">
      <c r="A37" s="23" t="s">
        <v>207</v>
      </c>
      <c r="B37" s="5" t="s">
        <v>208</v>
      </c>
      <c r="C37" s="4" t="s">
        <v>196</v>
      </c>
      <c r="D37" s="4" t="s">
        <v>111</v>
      </c>
      <c r="E37" s="4">
        <f>SUMIF([1]入库明细!C:C,B37,[1]入库明细!H:H)</f>
        <v>4</v>
      </c>
      <c r="F37" s="4">
        <f>SUMIF([1]出库明细!C:C,B37,[1]出库明细!H:H)</f>
        <v>4</v>
      </c>
      <c r="G37" s="22">
        <f t="shared" si="0"/>
        <v>0</v>
      </c>
      <c r="H37" s="4" t="s">
        <v>167</v>
      </c>
      <c r="I37" s="4"/>
    </row>
    <row r="38" spans="1:9" x14ac:dyDescent="0.3">
      <c r="A38" s="23" t="s">
        <v>209</v>
      </c>
      <c r="B38" s="5" t="s">
        <v>210</v>
      </c>
      <c r="C38" s="4" t="s">
        <v>199</v>
      </c>
      <c r="D38" s="4" t="s">
        <v>111</v>
      </c>
      <c r="E38" s="4">
        <f>SUMIF([1]入库明细!C:C,B38,[1]入库明细!H:H)</f>
        <v>4</v>
      </c>
      <c r="F38" s="4">
        <f>SUMIF([1]出库明细!C:C,B38,[1]出库明细!H:H)</f>
        <v>4</v>
      </c>
      <c r="G38" s="22">
        <f t="shared" si="0"/>
        <v>0</v>
      </c>
      <c r="H38" s="4" t="s">
        <v>167</v>
      </c>
      <c r="I38" s="4"/>
    </row>
    <row r="39" spans="1:9" x14ac:dyDescent="0.3">
      <c r="A39" s="23" t="s">
        <v>211</v>
      </c>
      <c r="B39" s="5" t="s">
        <v>212</v>
      </c>
      <c r="C39" s="4" t="s">
        <v>213</v>
      </c>
      <c r="D39" s="4" t="s">
        <v>111</v>
      </c>
      <c r="E39" s="4">
        <f>SUMIF([1]入库明细!C:C,B39,[1]入库明细!H:H)</f>
        <v>4</v>
      </c>
      <c r="F39" s="4">
        <f>SUMIF([1]出库明细!C:C,B39,[1]出库明细!H:H)</f>
        <v>4</v>
      </c>
      <c r="G39" s="22">
        <f t="shared" si="0"/>
        <v>0</v>
      </c>
      <c r="H39" s="4" t="s">
        <v>167</v>
      </c>
      <c r="I39" s="4"/>
    </row>
    <row r="40" spans="1:9" x14ac:dyDescent="0.3">
      <c r="A40" s="23" t="s">
        <v>214</v>
      </c>
      <c r="B40" s="5" t="s">
        <v>215</v>
      </c>
      <c r="C40" s="4" t="s">
        <v>216</v>
      </c>
      <c r="D40" s="4" t="s">
        <v>111</v>
      </c>
      <c r="E40" s="4">
        <f>SUMIF([1]入库明细!C:C,B40,[1]入库明细!H:H)</f>
        <v>3</v>
      </c>
      <c r="F40" s="4">
        <f>SUMIF([1]出库明细!C:C,B40,[1]出库明细!H:H)</f>
        <v>3</v>
      </c>
      <c r="G40" s="22">
        <f t="shared" si="0"/>
        <v>0</v>
      </c>
      <c r="H40" s="4" t="s">
        <v>167</v>
      </c>
      <c r="I40" s="4"/>
    </row>
    <row r="41" spans="1:9" x14ac:dyDescent="0.3">
      <c r="A41" s="23" t="s">
        <v>217</v>
      </c>
      <c r="B41" s="5" t="s">
        <v>218</v>
      </c>
      <c r="C41" s="4" t="s">
        <v>187</v>
      </c>
      <c r="D41" s="4" t="s">
        <v>111</v>
      </c>
      <c r="E41" s="4">
        <f>SUMIF([1]入库明细!C:C,B41,[1]入库明细!H:H)</f>
        <v>3</v>
      </c>
      <c r="F41" s="4">
        <f>SUMIF([1]出库明细!C:C,B41,[1]出库明细!H:H)</f>
        <v>3</v>
      </c>
      <c r="G41" s="22">
        <f t="shared" si="0"/>
        <v>0</v>
      </c>
      <c r="H41" s="4" t="s">
        <v>167</v>
      </c>
      <c r="I41" s="4"/>
    </row>
    <row r="42" spans="1:9" x14ac:dyDescent="0.3">
      <c r="A42" s="23" t="s">
        <v>219</v>
      </c>
      <c r="B42" s="5" t="s">
        <v>220</v>
      </c>
      <c r="C42" s="4" t="s">
        <v>190</v>
      </c>
      <c r="D42" s="4" t="s">
        <v>111</v>
      </c>
      <c r="E42" s="4">
        <f>SUMIF([1]入库明细!C:C,B42,[1]入库明细!H:H)</f>
        <v>3</v>
      </c>
      <c r="F42" s="4">
        <f>SUMIF([1]出库明细!C:C,B42,[1]出库明细!H:H)</f>
        <v>3</v>
      </c>
      <c r="G42" s="22">
        <f t="shared" si="0"/>
        <v>0</v>
      </c>
      <c r="H42" s="4" t="s">
        <v>167</v>
      </c>
      <c r="I42" s="4"/>
    </row>
    <row r="43" spans="1:9" x14ac:dyDescent="0.3">
      <c r="A43" s="23" t="s">
        <v>221</v>
      </c>
      <c r="B43" s="5" t="s">
        <v>222</v>
      </c>
      <c r="C43" s="4" t="s">
        <v>206</v>
      </c>
      <c r="D43" s="4" t="s">
        <v>111</v>
      </c>
      <c r="E43" s="4">
        <f>SUMIF([1]入库明细!C:C,B43,[1]入库明细!H:H)</f>
        <v>3</v>
      </c>
      <c r="F43" s="4">
        <f>SUMIF([1]出库明细!C:C,B43,[1]出库明细!H:H)</f>
        <v>3</v>
      </c>
      <c r="G43" s="22">
        <f t="shared" si="0"/>
        <v>0</v>
      </c>
      <c r="H43" s="4" t="s">
        <v>167</v>
      </c>
      <c r="I43" s="4"/>
    </row>
    <row r="44" spans="1:9" x14ac:dyDescent="0.3">
      <c r="A44" s="23" t="s">
        <v>223</v>
      </c>
      <c r="B44" s="5" t="s">
        <v>224</v>
      </c>
      <c r="C44" s="4" t="s">
        <v>225</v>
      </c>
      <c r="D44" s="4" t="s">
        <v>111</v>
      </c>
      <c r="E44" s="4">
        <f>SUMIF([1]入库明细!C:C,B44,[1]入库明细!H:H)</f>
        <v>5</v>
      </c>
      <c r="F44" s="4">
        <f>SUMIF([1]出库明细!C:C,B44,[1]出库明细!H:H)</f>
        <v>5</v>
      </c>
      <c r="G44" s="22">
        <f t="shared" si="0"/>
        <v>0</v>
      </c>
      <c r="H44" s="4" t="s">
        <v>167</v>
      </c>
      <c r="I44" s="4"/>
    </row>
    <row r="45" spans="1:9" x14ac:dyDescent="0.3">
      <c r="A45" s="23" t="s">
        <v>226</v>
      </c>
      <c r="B45" s="5" t="s">
        <v>227</v>
      </c>
      <c r="C45" s="4" t="s">
        <v>228</v>
      </c>
      <c r="D45" s="4" t="s">
        <v>111</v>
      </c>
      <c r="E45" s="4">
        <f>SUMIF([1]入库明细!C:C,B45,[1]入库明细!H:H)</f>
        <v>5</v>
      </c>
      <c r="F45" s="4">
        <f>SUMIF([1]出库明细!C:C,B45,[1]出库明细!H:H)</f>
        <v>5</v>
      </c>
      <c r="G45" s="22">
        <f t="shared" si="0"/>
        <v>0</v>
      </c>
      <c r="H45" s="4" t="s">
        <v>167</v>
      </c>
      <c r="I45" s="4"/>
    </row>
    <row r="46" spans="1:9" x14ac:dyDescent="0.3">
      <c r="A46" s="23" t="s">
        <v>229</v>
      </c>
      <c r="B46" s="5" t="s">
        <v>230</v>
      </c>
      <c r="C46" s="4" t="s">
        <v>199</v>
      </c>
      <c r="D46" s="4" t="s">
        <v>111</v>
      </c>
      <c r="E46" s="4">
        <f>SUMIF([1]入库明细!C:C,B46,[1]入库明细!H:H)</f>
        <v>2</v>
      </c>
      <c r="F46" s="4">
        <f>SUMIF([1]出库明细!C:C,B46,[1]出库明细!H:H)</f>
        <v>2</v>
      </c>
      <c r="G46" s="22">
        <f t="shared" si="0"/>
        <v>0</v>
      </c>
      <c r="H46" s="4" t="s">
        <v>167</v>
      </c>
      <c r="I46" s="4"/>
    </row>
    <row r="47" spans="1:9" x14ac:dyDescent="0.3">
      <c r="A47" s="23" t="s">
        <v>231</v>
      </c>
      <c r="B47" s="5" t="s">
        <v>232</v>
      </c>
      <c r="C47" s="4" t="s">
        <v>213</v>
      </c>
      <c r="D47" s="4" t="s">
        <v>111</v>
      </c>
      <c r="E47" s="4">
        <f>SUMIF([1]入库明细!C:C,B47,[1]入库明细!H:H)</f>
        <v>2</v>
      </c>
      <c r="F47" s="4">
        <f>SUMIF([1]出库明细!C:C,B47,[1]出库明细!H:H)</f>
        <v>2</v>
      </c>
      <c r="G47" s="22">
        <f t="shared" si="0"/>
        <v>0</v>
      </c>
      <c r="H47" s="4" t="s">
        <v>167</v>
      </c>
      <c r="I47" s="4"/>
    </row>
    <row r="48" spans="1:9" x14ac:dyDescent="0.3">
      <c r="A48" s="23" t="s">
        <v>233</v>
      </c>
      <c r="B48" s="5" t="s">
        <v>234</v>
      </c>
      <c r="C48" s="4" t="s">
        <v>235</v>
      </c>
      <c r="D48" s="4" t="s">
        <v>236</v>
      </c>
      <c r="E48" s="4">
        <f>SUMIF([1]入库明细!C:C,B48,[1]入库明细!H:H)</f>
        <v>1</v>
      </c>
      <c r="F48" s="4">
        <f>SUMIF([1]出库明细!C:C,B48,[1]出库明细!H:H)</f>
        <v>1</v>
      </c>
      <c r="G48" s="22">
        <f t="shared" si="0"/>
        <v>0</v>
      </c>
      <c r="H48" s="4" t="s">
        <v>167</v>
      </c>
      <c r="I48" s="4"/>
    </row>
    <row r="49" spans="1:9" x14ac:dyDescent="0.3">
      <c r="A49" s="23" t="s">
        <v>237</v>
      </c>
      <c r="B49" s="5" t="s">
        <v>238</v>
      </c>
      <c r="C49" s="4" t="s">
        <v>239</v>
      </c>
      <c r="D49" s="4" t="s">
        <v>240</v>
      </c>
      <c r="E49" s="4">
        <f>SUMIF([1]入库明细!C:C,B49,[1]入库明细!H:H)</f>
        <v>5</v>
      </c>
      <c r="F49" s="4">
        <f>SUMIF([1]出库明细!C:C,B49,[1]出库明细!H:H)</f>
        <v>5</v>
      </c>
      <c r="G49" s="22">
        <f t="shared" si="0"/>
        <v>0</v>
      </c>
      <c r="H49" s="4" t="s">
        <v>167</v>
      </c>
      <c r="I49" s="4"/>
    </row>
    <row r="50" spans="1:9" x14ac:dyDescent="0.3">
      <c r="A50" s="23" t="s">
        <v>241</v>
      </c>
      <c r="B50" s="5" t="s">
        <v>242</v>
      </c>
      <c r="C50" s="4" t="s">
        <v>196</v>
      </c>
      <c r="D50" s="4" t="s">
        <v>111</v>
      </c>
      <c r="E50" s="4">
        <f>SUMIF([1]入库明细!C:C,B50,[1]入库明细!H:H)</f>
        <v>10</v>
      </c>
      <c r="F50" s="4">
        <f>SUMIF([1]出库明细!C:C,B50,[1]出库明细!H:H)</f>
        <v>4</v>
      </c>
      <c r="G50" s="22">
        <f t="shared" si="0"/>
        <v>6</v>
      </c>
      <c r="H50" s="4" t="s">
        <v>167</v>
      </c>
      <c r="I50" s="4" t="s">
        <v>147</v>
      </c>
    </row>
    <row r="51" spans="1:9" x14ac:dyDescent="0.3">
      <c r="A51" s="23" t="s">
        <v>243</v>
      </c>
      <c r="B51" s="5" t="s">
        <v>244</v>
      </c>
      <c r="C51" s="4" t="s">
        <v>245</v>
      </c>
      <c r="D51" s="4" t="s">
        <v>111</v>
      </c>
      <c r="E51" s="4">
        <f>SUMIF([1]入库明细!C:C,B51,[1]入库明细!H:H)</f>
        <v>3</v>
      </c>
      <c r="F51" s="4">
        <f>SUMIF([1]出库明细!C:C,B51,[1]出库明细!H:H)</f>
        <v>3</v>
      </c>
      <c r="G51" s="22">
        <f t="shared" si="0"/>
        <v>0</v>
      </c>
      <c r="H51" s="4" t="s">
        <v>167</v>
      </c>
      <c r="I51" s="4"/>
    </row>
    <row r="52" spans="1:9" x14ac:dyDescent="0.3">
      <c r="A52" s="23" t="s">
        <v>246</v>
      </c>
      <c r="B52" s="5" t="s">
        <v>247</v>
      </c>
      <c r="C52" s="4" t="s">
        <v>248</v>
      </c>
      <c r="D52" s="4" t="s">
        <v>111</v>
      </c>
      <c r="E52" s="4">
        <f>SUMIF([1]入库明细!C:C,B52,[1]入库明细!H:H)</f>
        <v>3</v>
      </c>
      <c r="F52" s="4">
        <f>SUMIF([1]出库明细!C:C,B52,[1]出库明细!H:H)</f>
        <v>3</v>
      </c>
      <c r="G52" s="22">
        <f t="shared" si="0"/>
        <v>0</v>
      </c>
      <c r="H52" s="4" t="s">
        <v>167</v>
      </c>
      <c r="I52" s="4"/>
    </row>
    <row r="53" spans="1:9" x14ac:dyDescent="0.3">
      <c r="A53" s="23" t="s">
        <v>249</v>
      </c>
      <c r="B53" s="5" t="s">
        <v>250</v>
      </c>
      <c r="C53" s="4" t="s">
        <v>251</v>
      </c>
      <c r="D53" s="4" t="s">
        <v>111</v>
      </c>
      <c r="E53" s="4">
        <f>SUMIF([1]入库明细!C:C,B53,[1]入库明细!H:H)</f>
        <v>1</v>
      </c>
      <c r="F53" s="4">
        <f>SUMIF([1]出库明细!C:C,B53,[1]出库明细!H:H)</f>
        <v>0</v>
      </c>
      <c r="G53" s="22">
        <f t="shared" si="0"/>
        <v>1</v>
      </c>
      <c r="H53" s="4" t="s">
        <v>167</v>
      </c>
      <c r="I53" s="4" t="s">
        <v>252</v>
      </c>
    </row>
    <row r="54" spans="1:9" x14ac:dyDescent="0.3">
      <c r="A54" s="23" t="s">
        <v>253</v>
      </c>
      <c r="B54" s="5" t="s">
        <v>254</v>
      </c>
      <c r="C54" s="4" t="s">
        <v>255</v>
      </c>
      <c r="D54" s="4" t="s">
        <v>184</v>
      </c>
      <c r="E54" s="4">
        <f>SUMIF([1]入库明细!C:C,B54,[1]入库明细!H:H)</f>
        <v>1</v>
      </c>
      <c r="F54" s="4">
        <f>SUMIF([1]出库明细!C:C,B54,[1]出库明细!H:H)</f>
        <v>0</v>
      </c>
      <c r="G54" s="22">
        <f t="shared" si="0"/>
        <v>1</v>
      </c>
      <c r="H54" s="4" t="s">
        <v>167</v>
      </c>
      <c r="I54" s="4" t="s">
        <v>147</v>
      </c>
    </row>
    <row r="55" spans="1:9" x14ac:dyDescent="0.3">
      <c r="A55" s="23" t="s">
        <v>256</v>
      </c>
      <c r="B55" s="5" t="s">
        <v>257</v>
      </c>
      <c r="C55" s="4" t="s">
        <v>258</v>
      </c>
      <c r="D55" s="4" t="s">
        <v>184</v>
      </c>
      <c r="E55" s="4">
        <f>SUMIF([1]入库明细!C:C,B55,[1]入库明细!H:H)</f>
        <v>1</v>
      </c>
      <c r="F55" s="4">
        <f>SUMIF([1]出库明细!C:C,B55,[1]出库明细!H:H)</f>
        <v>0</v>
      </c>
      <c r="G55" s="22">
        <f t="shared" si="0"/>
        <v>1</v>
      </c>
      <c r="H55" s="4" t="s">
        <v>167</v>
      </c>
      <c r="I55" s="4" t="s">
        <v>147</v>
      </c>
    </row>
    <row r="56" spans="1:9" x14ac:dyDescent="0.3">
      <c r="A56" s="23" t="s">
        <v>259</v>
      </c>
      <c r="B56" s="5" t="s">
        <v>260</v>
      </c>
      <c r="C56" s="4" t="s">
        <v>261</v>
      </c>
      <c r="D56" s="4" t="s">
        <v>184</v>
      </c>
      <c r="E56" s="4">
        <f>SUMIF([1]入库明细!C:C,B56,[1]入库明细!H:H)</f>
        <v>1</v>
      </c>
      <c r="F56" s="4">
        <f>SUMIF([1]出库明细!C:C,B56,[1]出库明细!H:H)</f>
        <v>1</v>
      </c>
      <c r="G56" s="22">
        <f t="shared" si="0"/>
        <v>0</v>
      </c>
      <c r="H56" s="4" t="s">
        <v>167</v>
      </c>
      <c r="I56" s="4"/>
    </row>
    <row r="57" spans="1:9" x14ac:dyDescent="0.3">
      <c r="A57" s="23" t="s">
        <v>262</v>
      </c>
      <c r="B57" s="5" t="s">
        <v>263</v>
      </c>
      <c r="C57" s="4" t="s">
        <v>251</v>
      </c>
      <c r="D57" s="4" t="s">
        <v>184</v>
      </c>
      <c r="E57" s="4">
        <f>SUMIF([1]入库明细!C:C,B57,[1]入库明细!H:H)</f>
        <v>10</v>
      </c>
      <c r="F57" s="4">
        <f>SUMIF([1]出库明细!C:C,B57,[1]出库明细!H:H)</f>
        <v>3</v>
      </c>
      <c r="G57" s="22">
        <f t="shared" si="0"/>
        <v>7</v>
      </c>
      <c r="H57" s="4" t="s">
        <v>167</v>
      </c>
      <c r="I57" s="4" t="s">
        <v>264</v>
      </c>
    </row>
    <row r="58" spans="1:9" x14ac:dyDescent="0.3">
      <c r="A58" s="23" t="s">
        <v>265</v>
      </c>
      <c r="B58" s="5" t="s">
        <v>266</v>
      </c>
      <c r="C58" s="4" t="s">
        <v>267</v>
      </c>
      <c r="D58" s="4" t="s">
        <v>111</v>
      </c>
      <c r="E58" s="4">
        <f>SUMIF([1]入库明细!C:C,B58,[1]入库明细!H:H)</f>
        <v>1</v>
      </c>
      <c r="F58" s="4">
        <f>SUMIF([1]出库明细!C:C,B58,[1]出库明细!H:H)</f>
        <v>1</v>
      </c>
      <c r="G58" s="22">
        <f t="shared" si="0"/>
        <v>0</v>
      </c>
      <c r="H58" s="4" t="s">
        <v>167</v>
      </c>
      <c r="I58" s="4"/>
    </row>
    <row r="59" spans="1:9" ht="14.5" x14ac:dyDescent="0.3">
      <c r="A59" s="23" t="s">
        <v>268</v>
      </c>
      <c r="B59" s="5" t="s">
        <v>269</v>
      </c>
      <c r="C59" s="4" t="s">
        <v>270</v>
      </c>
      <c r="D59" s="4" t="s">
        <v>111</v>
      </c>
      <c r="E59" s="4">
        <f>SUMIF([1]入库明细!C:C,B59,[1]入库明细!H:H)</f>
        <v>2</v>
      </c>
      <c r="F59" s="4">
        <f>SUMIF([1]出库明细!C:C,B59,[1]出库明细!H:H)</f>
        <v>1</v>
      </c>
      <c r="G59" s="22">
        <f t="shared" si="0"/>
        <v>1</v>
      </c>
      <c r="H59" s="4" t="s">
        <v>167</v>
      </c>
      <c r="I59" s="4" t="s">
        <v>147</v>
      </c>
    </row>
    <row r="60" spans="1:9" x14ac:dyDescent="0.3">
      <c r="A60" s="23" t="s">
        <v>271</v>
      </c>
      <c r="B60" s="5" t="s">
        <v>272</v>
      </c>
      <c r="C60" s="4" t="s">
        <v>255</v>
      </c>
      <c r="D60" s="4" t="s">
        <v>111</v>
      </c>
      <c r="E60" s="4">
        <f>SUMIF([1]入库明细!C:C,B60,[1]入库明细!H:H)</f>
        <v>2</v>
      </c>
      <c r="F60" s="4">
        <f>SUMIF([1]出库明细!C:C,B60,[1]出库明细!H:H)</f>
        <v>2</v>
      </c>
      <c r="G60" s="22">
        <f t="shared" si="0"/>
        <v>0</v>
      </c>
      <c r="H60" s="4" t="s">
        <v>167</v>
      </c>
      <c r="I60" s="4"/>
    </row>
    <row r="61" spans="1:9" x14ac:dyDescent="0.3">
      <c r="A61" s="23" t="s">
        <v>273</v>
      </c>
      <c r="B61" s="5" t="s">
        <v>274</v>
      </c>
      <c r="C61" s="4" t="s">
        <v>275</v>
      </c>
      <c r="D61" s="4" t="s">
        <v>111</v>
      </c>
      <c r="E61" s="4">
        <f>SUMIF([1]入库明细!C:C,B61,[1]入库明细!H:H)</f>
        <v>2</v>
      </c>
      <c r="F61" s="4">
        <f>SUMIF([1]出库明细!C:C,B61,[1]出库明细!H:H)</f>
        <v>2</v>
      </c>
      <c r="G61" s="22">
        <f t="shared" si="0"/>
        <v>0</v>
      </c>
      <c r="H61" s="4" t="s">
        <v>167</v>
      </c>
      <c r="I61" s="4"/>
    </row>
    <row r="62" spans="1:9" x14ac:dyDescent="0.3">
      <c r="A62" s="23" t="s">
        <v>276</v>
      </c>
      <c r="B62" s="5" t="s">
        <v>277</v>
      </c>
      <c r="C62" s="4" t="s">
        <v>261</v>
      </c>
      <c r="D62" s="4" t="s">
        <v>111</v>
      </c>
      <c r="E62" s="4">
        <f>SUMIF([1]入库明细!C:C,B62,[1]入库明细!H:H)</f>
        <v>2</v>
      </c>
      <c r="F62" s="4">
        <f>SUMIF([1]出库明细!C:C,B62,[1]出库明细!H:H)</f>
        <v>2</v>
      </c>
      <c r="G62" s="22">
        <f t="shared" si="0"/>
        <v>0</v>
      </c>
      <c r="H62" s="4" t="s">
        <v>167</v>
      </c>
      <c r="I62" s="4"/>
    </row>
    <row r="63" spans="1:9" x14ac:dyDescent="0.3">
      <c r="A63" s="23" t="s">
        <v>278</v>
      </c>
      <c r="B63" s="5" t="s">
        <v>279</v>
      </c>
      <c r="C63" s="4" t="s">
        <v>216</v>
      </c>
      <c r="D63" s="4" t="s">
        <v>111</v>
      </c>
      <c r="E63" s="4">
        <f>SUMIF([1]入库明细!C:C,B63,[1]入库明细!H:H)</f>
        <v>2</v>
      </c>
      <c r="F63" s="4">
        <f>SUMIF([1]出库明细!C:C,B63,[1]出库明细!H:H)</f>
        <v>2</v>
      </c>
      <c r="G63" s="22">
        <f t="shared" si="0"/>
        <v>0</v>
      </c>
      <c r="H63" s="4" t="s">
        <v>167</v>
      </c>
      <c r="I63" s="4"/>
    </row>
    <row r="64" spans="1:9" x14ac:dyDescent="0.3">
      <c r="A64" s="23" t="s">
        <v>280</v>
      </c>
      <c r="B64" s="5" t="s">
        <v>281</v>
      </c>
      <c r="C64" s="4" t="s">
        <v>282</v>
      </c>
      <c r="D64" s="4" t="s">
        <v>111</v>
      </c>
      <c r="E64" s="4">
        <f>SUMIF([1]入库明细!C:C,B64,[1]入库明细!H:H)</f>
        <v>2</v>
      </c>
      <c r="F64" s="4">
        <f>SUMIF([1]出库明细!C:C,B64,[1]出库明细!H:H)</f>
        <v>2</v>
      </c>
      <c r="G64" s="22">
        <f t="shared" si="0"/>
        <v>0</v>
      </c>
      <c r="H64" s="4" t="s">
        <v>167</v>
      </c>
      <c r="I64" s="4"/>
    </row>
    <row r="65" spans="1:9" x14ac:dyDescent="0.3">
      <c r="A65" s="23" t="s">
        <v>283</v>
      </c>
      <c r="B65" s="5" t="s">
        <v>284</v>
      </c>
      <c r="C65" s="4" t="s">
        <v>187</v>
      </c>
      <c r="D65" s="4" t="s">
        <v>111</v>
      </c>
      <c r="E65" s="4">
        <f>SUMIF([1]入库明细!C:C,B65,[1]入库明细!H:H)</f>
        <v>2</v>
      </c>
      <c r="F65" s="4">
        <f>SUMIF([1]出库明细!C:C,B65,[1]出库明细!H:H)</f>
        <v>2</v>
      </c>
      <c r="G65" s="22">
        <f t="shared" si="0"/>
        <v>0</v>
      </c>
      <c r="H65" s="4" t="s">
        <v>167</v>
      </c>
      <c r="I65" s="4"/>
    </row>
    <row r="66" spans="1:9" x14ac:dyDescent="0.3">
      <c r="A66" s="23" t="s">
        <v>285</v>
      </c>
      <c r="B66" s="5" t="s">
        <v>286</v>
      </c>
      <c r="C66" s="4" t="s">
        <v>287</v>
      </c>
      <c r="D66" s="4" t="s">
        <v>184</v>
      </c>
      <c r="E66" s="4">
        <f>SUMIF([1]入库明细!C:C,B66,[1]入库明细!H:H)</f>
        <v>2</v>
      </c>
      <c r="F66" s="4">
        <f>SUMIF([1]出库明细!C:C,B66,[1]出库明细!H:H)</f>
        <v>2</v>
      </c>
      <c r="G66" s="22">
        <f t="shared" si="0"/>
        <v>0</v>
      </c>
      <c r="H66" s="4" t="s">
        <v>167</v>
      </c>
      <c r="I66" s="4"/>
    </row>
    <row r="67" spans="1:9" x14ac:dyDescent="0.3">
      <c r="A67" s="23" t="s">
        <v>288</v>
      </c>
      <c r="B67" s="5" t="s">
        <v>289</v>
      </c>
      <c r="C67" s="4" t="s">
        <v>290</v>
      </c>
      <c r="D67" s="4" t="s">
        <v>184</v>
      </c>
      <c r="E67" s="4">
        <f>SUMIF([1]入库明细!C:C,B67,[1]入库明细!H:H)</f>
        <v>2</v>
      </c>
      <c r="F67" s="4">
        <f>SUMIF([1]出库明细!C:C,B67,[1]出库明细!H:H)</f>
        <v>2</v>
      </c>
      <c r="G67" s="22">
        <f t="shared" ref="G67:G120" si="1">E67-F67</f>
        <v>0</v>
      </c>
      <c r="H67" s="4" t="s">
        <v>167</v>
      </c>
      <c r="I67" s="4"/>
    </row>
    <row r="68" spans="1:9" x14ac:dyDescent="0.3">
      <c r="A68" s="23" t="s">
        <v>291</v>
      </c>
      <c r="B68" s="5" t="s">
        <v>292</v>
      </c>
      <c r="C68" s="4" t="s">
        <v>251</v>
      </c>
      <c r="D68" s="4" t="s">
        <v>111</v>
      </c>
      <c r="E68" s="4">
        <f>SUMIF([1]入库明细!C:C,B68,[1]入库明细!H:H)</f>
        <v>20</v>
      </c>
      <c r="F68" s="4">
        <f>SUMIF([1]出库明细!C:C,B68,[1]出库明细!H:H)</f>
        <v>10</v>
      </c>
      <c r="G68" s="22">
        <f t="shared" si="1"/>
        <v>10</v>
      </c>
      <c r="H68" s="4" t="s">
        <v>167</v>
      </c>
      <c r="I68" s="4" t="s">
        <v>293</v>
      </c>
    </row>
    <row r="69" spans="1:9" x14ac:dyDescent="0.3">
      <c r="A69" s="23" t="s">
        <v>294</v>
      </c>
      <c r="B69" s="29" t="s">
        <v>295</v>
      </c>
      <c r="C69" s="30" t="s">
        <v>296</v>
      </c>
      <c r="D69" s="4" t="s">
        <v>111</v>
      </c>
      <c r="E69" s="4">
        <f>SUMIF([1]入库明细!C:C,B69,[1]入库明细!H:H)</f>
        <v>140</v>
      </c>
      <c r="F69" s="4">
        <f>SUMIF([1]出库明细!C:C,B69,[1]出库明细!H:H)</f>
        <v>80</v>
      </c>
      <c r="G69" s="22">
        <f t="shared" si="1"/>
        <v>60</v>
      </c>
      <c r="H69" s="4" t="s">
        <v>167</v>
      </c>
      <c r="I69" s="4" t="s">
        <v>297</v>
      </c>
    </row>
    <row r="70" spans="1:9" x14ac:dyDescent="0.3">
      <c r="A70" s="23" t="s">
        <v>298</v>
      </c>
      <c r="B70" s="29" t="s">
        <v>299</v>
      </c>
      <c r="C70" s="30" t="s">
        <v>296</v>
      </c>
      <c r="D70" s="4" t="s">
        <v>111</v>
      </c>
      <c r="E70" s="4">
        <f>SUMIF([1]入库明细!C:C,B70,[1]入库明细!H:H)</f>
        <v>20</v>
      </c>
      <c r="F70" s="4">
        <f>SUMIF([1]出库明细!C:C,B70,[1]出库明细!H:H)</f>
        <v>4</v>
      </c>
      <c r="G70" s="22">
        <f t="shared" si="1"/>
        <v>16</v>
      </c>
      <c r="H70" s="4" t="s">
        <v>167</v>
      </c>
      <c r="I70" s="4" t="s">
        <v>300</v>
      </c>
    </row>
    <row r="71" spans="1:9" x14ac:dyDescent="0.3">
      <c r="A71" s="23" t="s">
        <v>301</v>
      </c>
      <c r="B71" s="29" t="s">
        <v>302</v>
      </c>
      <c r="C71" s="30" t="s">
        <v>124</v>
      </c>
      <c r="D71" s="4" t="s">
        <v>111</v>
      </c>
      <c r="E71" s="4">
        <f>SUMIF([1]入库明细!C:C,B71,[1]入库明细!H:H)</f>
        <v>1</v>
      </c>
      <c r="F71" s="4">
        <f>SUMIF([1]出库明细!C:C,B71,[1]出库明细!H:H)</f>
        <v>1</v>
      </c>
      <c r="G71" s="22">
        <f t="shared" si="1"/>
        <v>0</v>
      </c>
      <c r="H71" s="4" t="s">
        <v>167</v>
      </c>
      <c r="I71" s="4"/>
    </row>
    <row r="72" spans="1:9" x14ac:dyDescent="0.3">
      <c r="A72" s="23" t="s">
        <v>303</v>
      </c>
      <c r="B72" s="29" t="s">
        <v>304</v>
      </c>
      <c r="C72" s="30" t="s">
        <v>206</v>
      </c>
      <c r="D72" s="4" t="s">
        <v>111</v>
      </c>
      <c r="E72" s="4">
        <f>SUMIF([1]入库明细!C:C,B72,[1]入库明细!H:H)</f>
        <v>1</v>
      </c>
      <c r="F72" s="4">
        <f>SUMIF([1]出库明细!C:C,B72,[1]出库明细!H:H)</f>
        <v>1</v>
      </c>
      <c r="G72" s="22">
        <f t="shared" si="1"/>
        <v>0</v>
      </c>
      <c r="H72" s="4" t="s">
        <v>167</v>
      </c>
      <c r="I72" s="4"/>
    </row>
    <row r="73" spans="1:9" x14ac:dyDescent="0.3">
      <c r="A73" s="23" t="s">
        <v>305</v>
      </c>
      <c r="B73" s="29" t="s">
        <v>306</v>
      </c>
      <c r="C73" s="30" t="s">
        <v>196</v>
      </c>
      <c r="D73" s="4" t="s">
        <v>111</v>
      </c>
      <c r="E73" s="4">
        <f>SUMIF([1]入库明细!C:C,B73,[1]入库明细!H:H)</f>
        <v>2</v>
      </c>
      <c r="F73" s="4">
        <f>SUMIF([1]出库明细!C:C,B73,[1]出库明细!H:H)</f>
        <v>2</v>
      </c>
      <c r="G73" s="22">
        <f t="shared" si="1"/>
        <v>0</v>
      </c>
      <c r="H73" s="4" t="s">
        <v>167</v>
      </c>
      <c r="I73" s="4"/>
    </row>
    <row r="74" spans="1:9" x14ac:dyDescent="0.3">
      <c r="A74" s="23" t="s">
        <v>307</v>
      </c>
      <c r="B74" s="5" t="s">
        <v>308</v>
      </c>
      <c r="C74" s="31" t="s">
        <v>309</v>
      </c>
      <c r="D74" s="4" t="s">
        <v>111</v>
      </c>
      <c r="E74" s="4">
        <f>SUMIF([1]入库明细!C:C,B74,[1]入库明细!H:H)</f>
        <v>1</v>
      </c>
      <c r="F74" s="4">
        <f>SUMIF([1]出库明细!C:C,B74,[1]出库明细!H:H)</f>
        <v>1</v>
      </c>
      <c r="G74" s="22">
        <f t="shared" si="1"/>
        <v>0</v>
      </c>
      <c r="H74" s="4" t="s">
        <v>167</v>
      </c>
      <c r="I74" s="4"/>
    </row>
    <row r="75" spans="1:9" x14ac:dyDescent="0.3">
      <c r="A75" s="23" t="s">
        <v>310</v>
      </c>
      <c r="B75" s="29" t="s">
        <v>311</v>
      </c>
      <c r="C75" s="30" t="s">
        <v>296</v>
      </c>
      <c r="D75" s="4" t="s">
        <v>111</v>
      </c>
      <c r="E75" s="4">
        <f>SUMIF([1]入库明细!C:C,B75,[1]入库明细!H:H)</f>
        <v>1</v>
      </c>
      <c r="F75" s="4">
        <f>SUMIF([1]出库明细!C:C,B75,[1]出库明细!H:H)</f>
        <v>1</v>
      </c>
      <c r="G75" s="22">
        <f t="shared" si="1"/>
        <v>0</v>
      </c>
      <c r="H75" s="4" t="s">
        <v>167</v>
      </c>
      <c r="I75" s="4"/>
    </row>
    <row r="76" spans="1:9" x14ac:dyDescent="0.3">
      <c r="A76" s="23" t="s">
        <v>312</v>
      </c>
      <c r="B76" s="29" t="s">
        <v>313</v>
      </c>
      <c r="C76" s="30" t="s">
        <v>314</v>
      </c>
      <c r="D76" s="4" t="s">
        <v>111</v>
      </c>
      <c r="E76" s="4">
        <f>SUMIF([1]入库明细!C:C,B76,[1]入库明细!H:H)</f>
        <v>4</v>
      </c>
      <c r="F76" s="4">
        <f>SUMIF([1]出库明细!C:C,B76,[1]出库明细!H:H)</f>
        <v>4</v>
      </c>
      <c r="G76" s="22">
        <f t="shared" si="1"/>
        <v>0</v>
      </c>
      <c r="H76" s="4" t="s">
        <v>167</v>
      </c>
      <c r="I76" s="4"/>
    </row>
    <row r="77" spans="1:9" x14ac:dyDescent="0.3">
      <c r="A77" s="23" t="s">
        <v>315</v>
      </c>
      <c r="B77" s="29" t="s">
        <v>316</v>
      </c>
      <c r="C77" s="30" t="s">
        <v>314</v>
      </c>
      <c r="D77" s="4" t="s">
        <v>111</v>
      </c>
      <c r="E77" s="4">
        <f>SUMIF([1]入库明细!C:C,B77,[1]入库明细!H:H)</f>
        <v>4</v>
      </c>
      <c r="F77" s="4">
        <f>SUMIF([1]出库明细!C:C,B77,[1]出库明细!H:H)</f>
        <v>4</v>
      </c>
      <c r="G77" s="22">
        <f t="shared" si="1"/>
        <v>0</v>
      </c>
      <c r="H77" s="4" t="s">
        <v>167</v>
      </c>
      <c r="I77" s="4"/>
    </row>
    <row r="78" spans="1:9" x14ac:dyDescent="0.3">
      <c r="A78" s="23" t="s">
        <v>317</v>
      </c>
      <c r="B78" s="32" t="s">
        <v>318</v>
      </c>
      <c r="D78" s="4" t="s">
        <v>111</v>
      </c>
      <c r="E78" s="4">
        <f>SUMIF([1]入库明细!C:C,B78,[1]入库明细!H:H)</f>
        <v>0</v>
      </c>
      <c r="F78" s="4">
        <f>SUMIF([1]出库明细!C:C,B78,[1]出库明细!H:H)</f>
        <v>0</v>
      </c>
      <c r="G78" s="22">
        <f t="shared" si="1"/>
        <v>0</v>
      </c>
      <c r="H78" s="4" t="s">
        <v>167</v>
      </c>
      <c r="I78" s="4"/>
    </row>
    <row r="79" spans="1:9" x14ac:dyDescent="0.3">
      <c r="A79" s="23" t="s">
        <v>319</v>
      </c>
      <c r="B79" s="33" t="s">
        <v>320</v>
      </c>
      <c r="C79" s="30" t="s">
        <v>296</v>
      </c>
      <c r="D79" s="4" t="s">
        <v>111</v>
      </c>
      <c r="E79" s="4">
        <f>SUMIF([1]入库明细!C:C,B79,[1]入库明细!H:H)</f>
        <v>1</v>
      </c>
      <c r="F79" s="4">
        <f>SUMIF([1]出库明细!C:C,B79,[1]出库明细!H:H)</f>
        <v>1</v>
      </c>
      <c r="G79" s="22">
        <f t="shared" si="1"/>
        <v>0</v>
      </c>
      <c r="H79" s="4" t="s">
        <v>167</v>
      </c>
      <c r="I79" s="4"/>
    </row>
    <row r="80" spans="1:9" x14ac:dyDescent="0.3">
      <c r="A80" s="23" t="s">
        <v>321</v>
      </c>
      <c r="B80" s="33" t="s">
        <v>322</v>
      </c>
      <c r="C80" s="34" t="s">
        <v>296</v>
      </c>
      <c r="D80" s="4" t="s">
        <v>111</v>
      </c>
      <c r="E80" s="4">
        <f>SUMIF([1]入库明细!C:C,B80,[1]入库明细!H:H)</f>
        <v>0</v>
      </c>
      <c r="F80" s="4">
        <f>SUMIF([1]出库明细!C:C,B80,[1]出库明细!H:H)</f>
        <v>0</v>
      </c>
      <c r="G80" s="22">
        <f t="shared" si="1"/>
        <v>0</v>
      </c>
      <c r="H80" s="4" t="s">
        <v>167</v>
      </c>
      <c r="I80" s="4"/>
    </row>
    <row r="81" spans="1:9" x14ac:dyDescent="0.3">
      <c r="A81" s="23" t="s">
        <v>323</v>
      </c>
      <c r="B81" s="33" t="s">
        <v>324</v>
      </c>
      <c r="C81" s="34" t="s">
        <v>325</v>
      </c>
      <c r="D81" s="4" t="s">
        <v>111</v>
      </c>
      <c r="E81" s="4">
        <f>SUMIF([1]入库明细!C:C,B81,[1]入库明细!H:H)</f>
        <v>0</v>
      </c>
      <c r="F81" s="4">
        <f>SUMIF([1]出库明细!C:C,B81,[1]出库明细!H:H)</f>
        <v>0</v>
      </c>
      <c r="G81" s="22">
        <f t="shared" si="1"/>
        <v>0</v>
      </c>
      <c r="H81" s="4" t="s">
        <v>167</v>
      </c>
      <c r="I81" s="4"/>
    </row>
    <row r="82" spans="1:9" x14ac:dyDescent="0.3">
      <c r="A82" s="23" t="s">
        <v>326</v>
      </c>
      <c r="B82" s="5" t="s">
        <v>327</v>
      </c>
      <c r="C82" s="4" t="s">
        <v>328</v>
      </c>
      <c r="D82" s="4" t="s">
        <v>111</v>
      </c>
      <c r="E82" s="4">
        <f>SUMIF([1]入库明细!C:C,B82,[1]入库明细!H:H)</f>
        <v>2</v>
      </c>
      <c r="F82" s="4">
        <f>SUMIF([1]出库明细!C:C,B82,[1]出库明细!H:H)</f>
        <v>2</v>
      </c>
      <c r="G82" s="22">
        <f t="shared" si="1"/>
        <v>0</v>
      </c>
      <c r="H82" s="4" t="s">
        <v>167</v>
      </c>
      <c r="I82" s="4"/>
    </row>
    <row r="83" spans="1:9" x14ac:dyDescent="0.3">
      <c r="A83" s="23" t="s">
        <v>329</v>
      </c>
      <c r="B83" s="5" t="s">
        <v>330</v>
      </c>
      <c r="C83" s="4" t="s">
        <v>251</v>
      </c>
      <c r="D83" s="4" t="s">
        <v>111</v>
      </c>
      <c r="E83" s="4">
        <f>SUMIF([1]入库明细!C:C,B83,[1]入库明细!H:H)</f>
        <v>1</v>
      </c>
      <c r="F83" s="4">
        <f>SUMIF([1]出库明细!C:C,B83,[1]出库明细!H:H)</f>
        <v>0</v>
      </c>
      <c r="G83" s="22">
        <f t="shared" si="1"/>
        <v>1</v>
      </c>
      <c r="H83" s="4" t="s">
        <v>167</v>
      </c>
      <c r="I83" s="4" t="s">
        <v>331</v>
      </c>
    </row>
    <row r="84" spans="1:9" x14ac:dyDescent="0.3">
      <c r="A84" s="23" t="s">
        <v>332</v>
      </c>
      <c r="B84" s="5" t="s">
        <v>333</v>
      </c>
      <c r="C84" s="4" t="s">
        <v>334</v>
      </c>
      <c r="D84" s="4" t="s">
        <v>111</v>
      </c>
      <c r="E84" s="4">
        <f>SUMIF([1]入库明细!C:C,B84,[1]入库明细!H:H)</f>
        <v>7</v>
      </c>
      <c r="F84" s="4">
        <f>SUMIF([1]出库明细!C:C,B84,[1]出库明细!H:H)</f>
        <v>0</v>
      </c>
      <c r="G84" s="22">
        <f t="shared" si="1"/>
        <v>7</v>
      </c>
      <c r="H84" s="4" t="s">
        <v>167</v>
      </c>
      <c r="I84" s="4" t="s">
        <v>331</v>
      </c>
    </row>
    <row r="85" spans="1:9" x14ac:dyDescent="0.3">
      <c r="A85" s="23" t="s">
        <v>335</v>
      </c>
      <c r="B85" s="5" t="s">
        <v>336</v>
      </c>
      <c r="C85" s="4" t="s">
        <v>334</v>
      </c>
      <c r="D85" s="4" t="s">
        <v>111</v>
      </c>
      <c r="E85" s="4">
        <f>SUMIF([1]入库明细!C:C,B85,[1]入库明细!H:H)</f>
        <v>2</v>
      </c>
      <c r="F85" s="4">
        <f>SUMIF([1]出库明细!C:C,B85,[1]出库明细!H:H)</f>
        <v>0</v>
      </c>
      <c r="G85" s="22">
        <f t="shared" si="1"/>
        <v>2</v>
      </c>
      <c r="H85" s="4" t="s">
        <v>167</v>
      </c>
      <c r="I85" s="4" t="s">
        <v>331</v>
      </c>
    </row>
    <row r="86" spans="1:9" x14ac:dyDescent="0.3">
      <c r="A86" s="23" t="s">
        <v>337</v>
      </c>
      <c r="B86" s="5" t="s">
        <v>338</v>
      </c>
      <c r="C86" s="4" t="s">
        <v>334</v>
      </c>
      <c r="D86" s="4" t="s">
        <v>111</v>
      </c>
      <c r="E86" s="4">
        <f>SUMIF([1]入库明细!C:C,B86,[1]入库明细!H:H)</f>
        <v>10</v>
      </c>
      <c r="F86" s="4">
        <f>SUMIF([1]出库明细!C:C,B86,[1]出库明细!H:H)</f>
        <v>0</v>
      </c>
      <c r="G86" s="22">
        <f t="shared" si="1"/>
        <v>10</v>
      </c>
      <c r="H86" s="4" t="s">
        <v>167</v>
      </c>
      <c r="I86" s="4" t="s">
        <v>331</v>
      </c>
    </row>
    <row r="87" spans="1:9" x14ac:dyDescent="0.3">
      <c r="A87" s="23" t="s">
        <v>339</v>
      </c>
      <c r="B87" s="5" t="s">
        <v>340</v>
      </c>
      <c r="C87" s="4" t="s">
        <v>334</v>
      </c>
      <c r="D87" s="4" t="s">
        <v>111</v>
      </c>
      <c r="E87" s="4">
        <f>SUMIF([1]入库明细!C:C,B87,[1]入库明细!H:H)</f>
        <v>5</v>
      </c>
      <c r="F87" s="4">
        <f>SUMIF([1]出库明细!C:C,B87,[1]出库明细!H:H)</f>
        <v>0</v>
      </c>
      <c r="G87" s="22">
        <f t="shared" si="1"/>
        <v>5</v>
      </c>
      <c r="H87" s="4" t="s">
        <v>167</v>
      </c>
      <c r="I87" s="4" t="s">
        <v>331</v>
      </c>
    </row>
    <row r="88" spans="1:9" x14ac:dyDescent="0.3">
      <c r="A88" s="23" t="s">
        <v>341</v>
      </c>
      <c r="B88" s="5" t="s">
        <v>342</v>
      </c>
      <c r="C88" s="4" t="s">
        <v>343</v>
      </c>
      <c r="D88" s="4" t="s">
        <v>236</v>
      </c>
      <c r="E88" s="4">
        <f>SUMIF([1]入库明细!C:C,B88,[1]入库明细!H:H)</f>
        <v>5</v>
      </c>
      <c r="F88" s="4">
        <f>SUMIF([1]出库明细!C:C,B88,[1]出库明细!H:H)</f>
        <v>1</v>
      </c>
      <c r="G88" s="22">
        <f t="shared" si="1"/>
        <v>4</v>
      </c>
      <c r="H88" s="4" t="s">
        <v>167</v>
      </c>
      <c r="I88" s="4" t="s">
        <v>331</v>
      </c>
    </row>
    <row r="89" spans="1:9" x14ac:dyDescent="0.3">
      <c r="A89" s="23" t="s">
        <v>344</v>
      </c>
      <c r="B89" s="5" t="s">
        <v>345</v>
      </c>
      <c r="C89" s="4" t="s">
        <v>343</v>
      </c>
      <c r="D89" s="4" t="s">
        <v>236</v>
      </c>
      <c r="E89" s="4">
        <f>SUMIF([1]入库明细!C:C,B89,[1]入库明细!H:H)</f>
        <v>5</v>
      </c>
      <c r="F89" s="4">
        <f>SUMIF([1]出库明细!C:C,B89,[1]出库明细!H:H)</f>
        <v>1</v>
      </c>
      <c r="G89" s="22">
        <f t="shared" si="1"/>
        <v>4</v>
      </c>
      <c r="H89" s="4" t="s">
        <v>167</v>
      </c>
      <c r="I89" s="4" t="s">
        <v>331</v>
      </c>
    </row>
    <row r="90" spans="1:9" ht="28" x14ac:dyDescent="0.3">
      <c r="A90" s="23" t="s">
        <v>346</v>
      </c>
      <c r="B90" s="5" t="s">
        <v>347</v>
      </c>
      <c r="C90" s="4" t="s">
        <v>348</v>
      </c>
      <c r="D90" s="4" t="s">
        <v>111</v>
      </c>
      <c r="E90" s="4">
        <f>SUMIF([1]入库明细!C:C,B90,[1]入库明细!H:H)</f>
        <v>1</v>
      </c>
      <c r="F90" s="4">
        <f>SUMIF([1]出库明细!C:C,B90,[1]出库明细!H:H)</f>
        <v>0</v>
      </c>
      <c r="G90" s="22">
        <f t="shared" si="1"/>
        <v>1</v>
      </c>
      <c r="H90" s="4" t="s">
        <v>167</v>
      </c>
      <c r="I90" s="4" t="s">
        <v>349</v>
      </c>
    </row>
    <row r="91" spans="1:9" ht="42" x14ac:dyDescent="0.3">
      <c r="A91" s="23" t="s">
        <v>350</v>
      </c>
      <c r="B91" s="5" t="s">
        <v>351</v>
      </c>
      <c r="C91" s="4" t="s">
        <v>352</v>
      </c>
      <c r="D91" s="4" t="s">
        <v>111</v>
      </c>
      <c r="E91" s="4">
        <f>SUMIF([1]入库明细!C:C,B91,[1]入库明细!H:H)</f>
        <v>1</v>
      </c>
      <c r="F91" s="4">
        <f>SUMIF([1]出库明细!C:C,B91,[1]出库明细!H:H)</f>
        <v>0</v>
      </c>
      <c r="G91" s="22">
        <f t="shared" si="1"/>
        <v>1</v>
      </c>
      <c r="H91" s="4" t="s">
        <v>167</v>
      </c>
      <c r="I91" s="4" t="s">
        <v>349</v>
      </c>
    </row>
    <row r="92" spans="1:9" ht="42" x14ac:dyDescent="0.3">
      <c r="A92" s="23" t="s">
        <v>353</v>
      </c>
      <c r="B92" s="5" t="s">
        <v>354</v>
      </c>
      <c r="C92" s="4" t="s">
        <v>355</v>
      </c>
      <c r="D92" s="4" t="s">
        <v>111</v>
      </c>
      <c r="E92" s="4">
        <f>SUMIF([1]入库明细!C:C,B92,[1]入库明细!H:H)</f>
        <v>1</v>
      </c>
      <c r="F92" s="4">
        <f>SUMIF([1]出库明细!C:C,B92,[1]出库明细!H:H)</f>
        <v>0</v>
      </c>
      <c r="G92" s="22">
        <f t="shared" si="1"/>
        <v>1</v>
      </c>
      <c r="H92" s="4" t="s">
        <v>167</v>
      </c>
      <c r="I92" s="4" t="s">
        <v>349</v>
      </c>
    </row>
    <row r="93" spans="1:9" ht="42" x14ac:dyDescent="0.3">
      <c r="A93" s="23" t="s">
        <v>356</v>
      </c>
      <c r="B93" s="5" t="s">
        <v>357</v>
      </c>
      <c r="C93" s="4" t="s">
        <v>358</v>
      </c>
      <c r="D93" s="4" t="s">
        <v>111</v>
      </c>
      <c r="E93" s="4">
        <f>SUMIF([1]入库明细!C:C,B93,[1]入库明细!H:H)</f>
        <v>1</v>
      </c>
      <c r="F93" s="4">
        <f>SUMIF([1]出库明细!C:C,B93,[1]出库明细!H:H)</f>
        <v>1</v>
      </c>
      <c r="G93" s="22">
        <f t="shared" si="1"/>
        <v>0</v>
      </c>
      <c r="H93" s="4" t="s">
        <v>167</v>
      </c>
      <c r="I93" s="4"/>
    </row>
    <row r="94" spans="1:9" ht="28" x14ac:dyDescent="0.3">
      <c r="A94" s="23" t="s">
        <v>359</v>
      </c>
      <c r="B94" s="5" t="s">
        <v>360</v>
      </c>
      <c r="C94" s="4" t="s">
        <v>361</v>
      </c>
      <c r="D94" s="4" t="s">
        <v>111</v>
      </c>
      <c r="E94" s="4">
        <f>SUMIF([1]入库明细!C:C,B94,[1]入库明细!H:H)</f>
        <v>1</v>
      </c>
      <c r="F94" s="4">
        <f>SUMIF([1]出库明细!C:C,B94,[1]出库明细!H:H)</f>
        <v>1</v>
      </c>
      <c r="G94" s="22">
        <f t="shared" si="1"/>
        <v>0</v>
      </c>
      <c r="H94" s="4" t="s">
        <v>167</v>
      </c>
      <c r="I94" s="4"/>
    </row>
    <row r="95" spans="1:9" ht="28" x14ac:dyDescent="0.3">
      <c r="A95" s="23" t="s">
        <v>362</v>
      </c>
      <c r="B95" s="5" t="s">
        <v>363</v>
      </c>
      <c r="C95" s="4" t="s">
        <v>364</v>
      </c>
      <c r="D95" s="4" t="s">
        <v>111</v>
      </c>
      <c r="E95" s="4">
        <f>SUMIF([1]入库明细!C:C,B95,[1]入库明细!H:H)</f>
        <v>1</v>
      </c>
      <c r="F95" s="4">
        <f>SUMIF([1]出库明细!C:C,B95,[1]出库明细!H:H)</f>
        <v>0</v>
      </c>
      <c r="G95" s="22">
        <f t="shared" si="1"/>
        <v>1</v>
      </c>
      <c r="H95" s="4" t="s">
        <v>167</v>
      </c>
      <c r="I95" s="4" t="s">
        <v>349</v>
      </c>
    </row>
    <row r="96" spans="1:9" ht="28" x14ac:dyDescent="0.3">
      <c r="A96" s="23" t="s">
        <v>365</v>
      </c>
      <c r="B96" s="5" t="s">
        <v>366</v>
      </c>
      <c r="C96" s="4" t="s">
        <v>364</v>
      </c>
      <c r="D96" s="4" t="s">
        <v>111</v>
      </c>
      <c r="E96" s="4">
        <f>SUMIF([1]入库明细!C:C,B96,[1]入库明细!H:H)</f>
        <v>2</v>
      </c>
      <c r="F96" s="4">
        <f>SUMIF([1]出库明细!C:C,B96,[1]出库明细!H:H)</f>
        <v>0</v>
      </c>
      <c r="G96" s="22">
        <f t="shared" si="1"/>
        <v>2</v>
      </c>
      <c r="H96" s="4" t="s">
        <v>167</v>
      </c>
      <c r="I96" s="4" t="s">
        <v>349</v>
      </c>
    </row>
    <row r="97" spans="1:9" ht="28" x14ac:dyDescent="0.3">
      <c r="A97" s="23" t="s">
        <v>367</v>
      </c>
      <c r="B97" s="5" t="s">
        <v>368</v>
      </c>
      <c r="C97" s="4" t="s">
        <v>364</v>
      </c>
      <c r="D97" s="4" t="s">
        <v>111</v>
      </c>
      <c r="E97" s="4">
        <f>SUMIF([1]入库明细!C:C,B97,[1]入库明细!H:H)</f>
        <v>1</v>
      </c>
      <c r="F97" s="4">
        <f>SUMIF([1]出库明细!C:C,B97,[1]出库明细!H:H)</f>
        <v>0</v>
      </c>
      <c r="G97" s="22">
        <f t="shared" si="1"/>
        <v>1</v>
      </c>
      <c r="H97" s="4" t="s">
        <v>167</v>
      </c>
      <c r="I97" s="4" t="s">
        <v>349</v>
      </c>
    </row>
    <row r="98" spans="1:9" ht="28" x14ac:dyDescent="0.3">
      <c r="A98" s="23" t="s">
        <v>369</v>
      </c>
      <c r="B98" s="5" t="s">
        <v>370</v>
      </c>
      <c r="C98" s="4" t="s">
        <v>371</v>
      </c>
      <c r="D98" s="4" t="s">
        <v>111</v>
      </c>
      <c r="E98" s="4">
        <f>SUMIF([1]入库明细!C:C,B98,[1]入库明细!H:H)</f>
        <v>1</v>
      </c>
      <c r="F98" s="4">
        <f>SUMIF([1]出库明细!C:C,B98,[1]出库明细!H:H)</f>
        <v>0</v>
      </c>
      <c r="G98" s="22">
        <f t="shared" si="1"/>
        <v>1</v>
      </c>
      <c r="H98" s="4" t="s">
        <v>167</v>
      </c>
      <c r="I98" s="4" t="s">
        <v>349</v>
      </c>
    </row>
    <row r="99" spans="1:9" x14ac:dyDescent="0.3">
      <c r="A99" s="23" t="s">
        <v>372</v>
      </c>
      <c r="B99" s="5" t="s">
        <v>373</v>
      </c>
      <c r="C99" s="4" t="s">
        <v>374</v>
      </c>
      <c r="D99" s="4" t="s">
        <v>111</v>
      </c>
      <c r="E99" s="4">
        <f>SUMIF([1]入库明细!C:C,B99,[1]入库明细!H:H)</f>
        <v>1</v>
      </c>
      <c r="F99" s="4">
        <f>SUMIF([1]出库明细!C:C,B99,[1]出库明细!H:H)</f>
        <v>0</v>
      </c>
      <c r="G99" s="22">
        <f t="shared" si="1"/>
        <v>1</v>
      </c>
      <c r="H99" s="4" t="s">
        <v>167</v>
      </c>
      <c r="I99" s="4" t="s">
        <v>349</v>
      </c>
    </row>
    <row r="100" spans="1:9" x14ac:dyDescent="0.3">
      <c r="A100" s="23" t="s">
        <v>375</v>
      </c>
      <c r="B100" s="5" t="s">
        <v>376</v>
      </c>
      <c r="C100" s="4" t="s">
        <v>377</v>
      </c>
      <c r="D100" s="4" t="s">
        <v>111</v>
      </c>
      <c r="E100" s="4">
        <f>SUMIF([1]入库明细!C:C,B100,[1]入库明细!H:H)</f>
        <v>2</v>
      </c>
      <c r="F100" s="4">
        <f>SUMIF([1]出库明细!C:C,B100,[1]出库明细!H:H)</f>
        <v>0</v>
      </c>
      <c r="G100" s="22">
        <f t="shared" si="1"/>
        <v>2</v>
      </c>
      <c r="H100" s="4" t="s">
        <v>167</v>
      </c>
      <c r="I100" s="4" t="s">
        <v>349</v>
      </c>
    </row>
    <row r="101" spans="1:9" x14ac:dyDescent="0.3">
      <c r="A101" s="23" t="s">
        <v>378</v>
      </c>
      <c r="B101" s="5" t="s">
        <v>379</v>
      </c>
      <c r="C101" s="4" t="s">
        <v>380</v>
      </c>
      <c r="D101" s="4" t="s">
        <v>111</v>
      </c>
      <c r="E101" s="4">
        <f>SUMIF([1]入库明细!C:C,B101,[1]入库明细!H:H)</f>
        <v>1</v>
      </c>
      <c r="F101" s="4">
        <f>SUMIF([1]出库明细!C:C,B101,[1]出库明细!H:H)</f>
        <v>0</v>
      </c>
      <c r="G101" s="22">
        <f t="shared" si="1"/>
        <v>1</v>
      </c>
      <c r="H101" s="4" t="s">
        <v>167</v>
      </c>
      <c r="I101" s="4" t="s">
        <v>349</v>
      </c>
    </row>
    <row r="102" spans="1:9" ht="28" x14ac:dyDescent="0.3">
      <c r="A102" s="23" t="s">
        <v>381</v>
      </c>
      <c r="B102" s="5" t="s">
        <v>382</v>
      </c>
      <c r="C102" s="4" t="s">
        <v>383</v>
      </c>
      <c r="D102" s="4" t="s">
        <v>111</v>
      </c>
      <c r="E102" s="4">
        <f>SUMIF([1]入库明细!C:C,B102,[1]入库明细!H:H)</f>
        <v>1</v>
      </c>
      <c r="F102" s="4">
        <f>SUMIF([1]出库明细!C:C,B102,[1]出库明细!H:H)</f>
        <v>0</v>
      </c>
      <c r="G102" s="22">
        <f t="shared" si="1"/>
        <v>1</v>
      </c>
      <c r="H102" s="4" t="s">
        <v>167</v>
      </c>
      <c r="I102" s="4" t="s">
        <v>349</v>
      </c>
    </row>
    <row r="103" spans="1:9" x14ac:dyDescent="0.3">
      <c r="A103" s="23" t="s">
        <v>384</v>
      </c>
      <c r="B103" s="5" t="s">
        <v>385</v>
      </c>
      <c r="C103" s="4" t="s">
        <v>296</v>
      </c>
      <c r="D103" s="4" t="s">
        <v>111</v>
      </c>
      <c r="E103" s="4">
        <f>SUMIF([1]入库明细!C:C,B103,[1]入库明细!H:H)</f>
        <v>1</v>
      </c>
      <c r="F103" s="4">
        <f>SUMIF([1]出库明细!C:C,B103,[1]出库明细!H:H)</f>
        <v>1</v>
      </c>
      <c r="G103" s="22">
        <f t="shared" si="1"/>
        <v>0</v>
      </c>
      <c r="H103" s="4" t="s">
        <v>167</v>
      </c>
      <c r="I103" s="4"/>
    </row>
    <row r="104" spans="1:9" x14ac:dyDescent="0.3">
      <c r="A104" s="23" t="s">
        <v>386</v>
      </c>
      <c r="B104" s="5" t="s">
        <v>387</v>
      </c>
      <c r="C104" s="27">
        <v>0.99</v>
      </c>
      <c r="D104" s="4" t="s">
        <v>132</v>
      </c>
      <c r="E104" s="4">
        <f>SUMIF([1]入库明细!C:C,B104,[1]入库明细!H:H)</f>
        <v>2</v>
      </c>
      <c r="F104" s="4">
        <f>SUMIF([1]出库明细!C:C,B104,[1]出库明细!H:H)</f>
        <v>2</v>
      </c>
      <c r="G104" s="22">
        <f t="shared" si="1"/>
        <v>0</v>
      </c>
      <c r="H104" s="4" t="s">
        <v>167</v>
      </c>
      <c r="I104" s="4"/>
    </row>
    <row r="105" spans="1:9" x14ac:dyDescent="0.3">
      <c r="A105" s="23" t="s">
        <v>388</v>
      </c>
      <c r="B105" s="5" t="s">
        <v>389</v>
      </c>
      <c r="C105" s="4" t="s">
        <v>390</v>
      </c>
      <c r="D105" s="4" t="s">
        <v>391</v>
      </c>
      <c r="E105" s="4">
        <f>SUMIF([1]入库明细!C:C,B105,[1]入库明细!H:H)</f>
        <v>1</v>
      </c>
      <c r="F105" s="4">
        <f>SUMIF([1]出库明细!C:C,B105,[1]出库明细!H:H)</f>
        <v>1</v>
      </c>
      <c r="G105" s="22">
        <f t="shared" si="1"/>
        <v>0</v>
      </c>
      <c r="H105" s="4" t="s">
        <v>167</v>
      </c>
      <c r="I105" s="4"/>
    </row>
    <row r="106" spans="1:9" x14ac:dyDescent="0.3">
      <c r="A106" s="23" t="s">
        <v>392</v>
      </c>
      <c r="B106" s="5" t="s">
        <v>393</v>
      </c>
      <c r="C106" s="4" t="s">
        <v>124</v>
      </c>
      <c r="D106" s="4" t="s">
        <v>111</v>
      </c>
      <c r="E106" s="4">
        <f>SUMIF([1]入库明细!C:C,B106,[1]入库明细!H:H)</f>
        <v>5</v>
      </c>
      <c r="F106" s="4">
        <f>SUMIF([1]出库明细!C:C,B106,[1]出库明细!H:H)</f>
        <v>5</v>
      </c>
      <c r="G106" s="22">
        <f t="shared" si="1"/>
        <v>0</v>
      </c>
      <c r="H106" s="4" t="s">
        <v>167</v>
      </c>
      <c r="I106" s="4"/>
    </row>
    <row r="107" spans="1:9" x14ac:dyDescent="0.3">
      <c r="A107" s="23" t="s">
        <v>394</v>
      </c>
      <c r="B107" s="5" t="s">
        <v>395</v>
      </c>
      <c r="C107" s="4" t="s">
        <v>396</v>
      </c>
      <c r="D107" s="4" t="s">
        <v>397</v>
      </c>
      <c r="E107" s="4">
        <f>SUMIF([1]入库明细!C:C,B107,[1]入库明细!H:H)</f>
        <v>10</v>
      </c>
      <c r="F107" s="4">
        <f>SUMIF([1]出库明细!C:C,B107,[1]出库明细!H:H)</f>
        <v>10</v>
      </c>
      <c r="G107" s="22">
        <f t="shared" si="1"/>
        <v>0</v>
      </c>
      <c r="H107" s="4" t="s">
        <v>167</v>
      </c>
      <c r="I107" s="4"/>
    </row>
    <row r="108" spans="1:9" x14ac:dyDescent="0.3">
      <c r="A108" s="23" t="s">
        <v>398</v>
      </c>
      <c r="B108" s="5" t="s">
        <v>399</v>
      </c>
      <c r="C108" s="4" t="s">
        <v>124</v>
      </c>
      <c r="D108" s="4" t="s">
        <v>111</v>
      </c>
      <c r="E108" s="4">
        <f>SUMIF([1]入库明细!C:C,B108,[1]入库明细!H:H)</f>
        <v>10</v>
      </c>
      <c r="F108" s="4">
        <f>SUMIF([1]出库明细!C:C,B108,[1]出库明细!H:H)</f>
        <v>10</v>
      </c>
      <c r="G108" s="22">
        <f t="shared" si="1"/>
        <v>0</v>
      </c>
      <c r="H108" s="4" t="s">
        <v>167</v>
      </c>
      <c r="I108" s="4"/>
    </row>
    <row r="109" spans="1:9" x14ac:dyDescent="0.3">
      <c r="A109" s="23" t="s">
        <v>400</v>
      </c>
      <c r="B109" s="5" t="s">
        <v>401</v>
      </c>
      <c r="C109" s="4" t="s">
        <v>124</v>
      </c>
      <c r="D109" s="4" t="s">
        <v>111</v>
      </c>
      <c r="E109" s="4">
        <f>SUMIF([1]入库明细!C:C,B109,[1]入库明细!H:H)</f>
        <v>10</v>
      </c>
      <c r="F109" s="4">
        <f>SUMIF([1]出库明细!C:C,B109,[1]出库明细!H:H)</f>
        <v>2</v>
      </c>
      <c r="G109" s="22">
        <f t="shared" si="1"/>
        <v>8</v>
      </c>
      <c r="H109" s="4" t="s">
        <v>167</v>
      </c>
      <c r="I109" s="4" t="s">
        <v>147</v>
      </c>
    </row>
    <row r="110" spans="1:9" x14ac:dyDescent="0.3">
      <c r="A110" s="23" t="s">
        <v>402</v>
      </c>
      <c r="B110" s="5" t="s">
        <v>403</v>
      </c>
      <c r="C110" s="4" t="s">
        <v>124</v>
      </c>
      <c r="D110" s="4" t="s">
        <v>111</v>
      </c>
      <c r="E110" s="4">
        <f>SUMIF([1]入库明细!C:C,B110,[1]入库明细!H:H)</f>
        <v>1</v>
      </c>
      <c r="F110" s="4">
        <f>SUMIF([1]出库明细!C:C,B110,[1]出库明细!H:H)</f>
        <v>1</v>
      </c>
      <c r="G110" s="22">
        <f t="shared" si="1"/>
        <v>0</v>
      </c>
      <c r="H110" s="4" t="s">
        <v>167</v>
      </c>
      <c r="I110" s="4"/>
    </row>
    <row r="111" spans="1:9" x14ac:dyDescent="0.3">
      <c r="A111" s="23" t="s">
        <v>404</v>
      </c>
      <c r="B111" s="5" t="s">
        <v>405</v>
      </c>
      <c r="C111" s="4" t="s">
        <v>124</v>
      </c>
      <c r="D111" s="4" t="s">
        <v>111</v>
      </c>
      <c r="E111" s="4">
        <f>SUMIF([1]入库明细!C:C,B111,[1]入库明细!H:H)</f>
        <v>3</v>
      </c>
      <c r="F111" s="4">
        <f>SUMIF([1]出库明细!C:C,B111,[1]出库明细!H:H)</f>
        <v>3</v>
      </c>
      <c r="G111" s="22">
        <f t="shared" si="1"/>
        <v>0</v>
      </c>
      <c r="H111" s="4" t="s">
        <v>167</v>
      </c>
      <c r="I111" s="4"/>
    </row>
    <row r="112" spans="1:9" x14ac:dyDescent="0.3">
      <c r="A112" s="23" t="s">
        <v>406</v>
      </c>
      <c r="B112" s="5" t="s">
        <v>407</v>
      </c>
      <c r="C112" s="4" t="s">
        <v>124</v>
      </c>
      <c r="D112" s="4" t="s">
        <v>111</v>
      </c>
      <c r="E112" s="4">
        <f>SUMIF([1]入库明细!C:C,B112,[1]入库明细!H:H)</f>
        <v>1</v>
      </c>
      <c r="F112" s="4">
        <f>SUMIF([1]出库明细!C:C,B112,[1]出库明细!H:H)</f>
        <v>1</v>
      </c>
      <c r="G112" s="22">
        <f t="shared" si="1"/>
        <v>0</v>
      </c>
      <c r="H112" s="4" t="s">
        <v>167</v>
      </c>
      <c r="I112" s="4"/>
    </row>
    <row r="113" spans="1:9" x14ac:dyDescent="0.3">
      <c r="A113" s="23" t="s">
        <v>408</v>
      </c>
      <c r="B113" s="5" t="s">
        <v>409</v>
      </c>
      <c r="C113" s="4" t="s">
        <v>124</v>
      </c>
      <c r="D113" s="4" t="s">
        <v>111</v>
      </c>
      <c r="E113" s="4">
        <f>SUMIF([1]入库明细!C:C,B113,[1]入库明细!H:H)</f>
        <v>1</v>
      </c>
      <c r="F113" s="4">
        <f>SUMIF([1]出库明细!C:C,B113,[1]出库明细!H:H)</f>
        <v>1</v>
      </c>
      <c r="G113" s="22">
        <f t="shared" si="1"/>
        <v>0</v>
      </c>
      <c r="H113" s="4" t="s">
        <v>167</v>
      </c>
      <c r="I113" s="4"/>
    </row>
    <row r="114" spans="1:9" x14ac:dyDescent="0.3">
      <c r="A114" s="23" t="s">
        <v>410</v>
      </c>
      <c r="B114" s="5" t="s">
        <v>411</v>
      </c>
      <c r="C114" s="4" t="s">
        <v>124</v>
      </c>
      <c r="D114" s="4" t="s">
        <v>111</v>
      </c>
      <c r="E114" s="4">
        <f>SUMIF([1]入库明细!C:C,B114,[1]入库明细!H:H)</f>
        <v>1</v>
      </c>
      <c r="F114" s="4">
        <f>SUMIF([1]出库明细!C:C,B114,[1]出库明细!H:H)</f>
        <v>1</v>
      </c>
      <c r="G114" s="22">
        <f t="shared" si="1"/>
        <v>0</v>
      </c>
      <c r="H114" s="4" t="s">
        <v>167</v>
      </c>
      <c r="I114" s="4"/>
    </row>
    <row r="115" spans="1:9" x14ac:dyDescent="0.3">
      <c r="A115" s="23" t="s">
        <v>412</v>
      </c>
      <c r="B115" s="5" t="s">
        <v>413</v>
      </c>
      <c r="C115" s="4" t="s">
        <v>296</v>
      </c>
      <c r="D115" s="4" t="s">
        <v>111</v>
      </c>
      <c r="E115" s="4">
        <f>SUMIF([1]入库明细!C:C,B115,[1]入库明细!H:H)</f>
        <v>2</v>
      </c>
      <c r="F115" s="4">
        <f>SUMIF([1]出库明细!C:C,B115,[1]出库明细!H:H)</f>
        <v>2</v>
      </c>
      <c r="G115" s="22">
        <f t="shared" si="1"/>
        <v>0</v>
      </c>
      <c r="H115" s="4" t="s">
        <v>167</v>
      </c>
      <c r="I115" s="4"/>
    </row>
    <row r="116" spans="1:9" x14ac:dyDescent="0.3">
      <c r="A116" s="23" t="s">
        <v>414</v>
      </c>
      <c r="B116" s="5" t="s">
        <v>415</v>
      </c>
      <c r="C116" s="4" t="s">
        <v>416</v>
      </c>
      <c r="D116" s="4" t="s">
        <v>111</v>
      </c>
      <c r="E116" s="4">
        <f>SUMIF([1]入库明细!C:C,B116,[1]入库明细!H:H)</f>
        <v>2</v>
      </c>
      <c r="F116" s="4">
        <f>SUMIF([1]出库明细!C:C,B116,[1]出库明细!H:H)</f>
        <v>2</v>
      </c>
      <c r="G116" s="22">
        <f t="shared" si="1"/>
        <v>0</v>
      </c>
      <c r="H116" s="4" t="s">
        <v>167</v>
      </c>
      <c r="I116" s="4"/>
    </row>
    <row r="117" spans="1:9" x14ac:dyDescent="0.3">
      <c r="A117" s="23" t="s">
        <v>417</v>
      </c>
      <c r="B117" s="5" t="s">
        <v>418</v>
      </c>
      <c r="C117" s="4" t="s">
        <v>419</v>
      </c>
      <c r="D117" s="4" t="s">
        <v>111</v>
      </c>
      <c r="E117" s="4">
        <f>SUMIF([1]入库明细!C:C,B117,[1]入库明细!H:H)</f>
        <v>1</v>
      </c>
      <c r="F117" s="4">
        <f>SUMIF([1]出库明细!C:C,B117,[1]出库明细!H:H)</f>
        <v>1</v>
      </c>
      <c r="G117" s="22">
        <f t="shared" si="1"/>
        <v>0</v>
      </c>
      <c r="H117" s="4" t="s">
        <v>167</v>
      </c>
      <c r="I117" s="4"/>
    </row>
    <row r="118" spans="1:9" x14ac:dyDescent="0.3">
      <c r="A118" s="23" t="s">
        <v>420</v>
      </c>
      <c r="B118" s="5" t="s">
        <v>421</v>
      </c>
      <c r="C118" s="4" t="s">
        <v>422</v>
      </c>
      <c r="D118" s="4" t="s">
        <v>184</v>
      </c>
      <c r="E118" s="4">
        <f>SUMIF([1]入库明细!C:C,B118,[1]入库明细!H:H)</f>
        <v>2</v>
      </c>
      <c r="F118" s="4">
        <f>SUMIF([1]出库明细!C:C,B118,[1]出库明细!H:H)</f>
        <v>2</v>
      </c>
      <c r="G118" s="22">
        <f t="shared" si="1"/>
        <v>0</v>
      </c>
      <c r="H118" s="4" t="s">
        <v>167</v>
      </c>
      <c r="I118" s="4"/>
    </row>
    <row r="119" spans="1:9" x14ac:dyDescent="0.3">
      <c r="A119" s="23" t="s">
        <v>423</v>
      </c>
      <c r="B119" s="5" t="s">
        <v>424</v>
      </c>
      <c r="C119" s="4" t="s">
        <v>425</v>
      </c>
      <c r="D119" s="4" t="s">
        <v>184</v>
      </c>
      <c r="E119" s="4">
        <f>SUMIF([1]入库明细!C:C,B119,[1]入库明细!H:H)</f>
        <v>2</v>
      </c>
      <c r="F119" s="4">
        <f>SUMIF([1]出库明细!C:C,B119,[1]出库明细!H:H)</f>
        <v>2</v>
      </c>
      <c r="G119" s="22">
        <f t="shared" si="1"/>
        <v>0</v>
      </c>
      <c r="H119" s="4" t="s">
        <v>167</v>
      </c>
      <c r="I119" s="4"/>
    </row>
    <row r="120" spans="1:9" x14ac:dyDescent="0.3">
      <c r="A120" s="23" t="s">
        <v>426</v>
      </c>
      <c r="B120" s="5" t="s">
        <v>427</v>
      </c>
      <c r="C120" s="4" t="s">
        <v>428</v>
      </c>
      <c r="D120" s="4" t="s">
        <v>184</v>
      </c>
      <c r="E120" s="4">
        <f>SUMIF([1]入库明细!C:C,B120,[1]入库明细!H:H)</f>
        <v>2</v>
      </c>
      <c r="F120" s="4">
        <f>SUMIF([1]出库明细!C:C,B120,[1]出库明细!H:H)</f>
        <v>2</v>
      </c>
      <c r="G120" s="22">
        <f t="shared" si="1"/>
        <v>0</v>
      </c>
      <c r="H120" s="4" t="s">
        <v>167</v>
      </c>
      <c r="I120" s="4"/>
    </row>
  </sheetData>
  <mergeCells count="1">
    <mergeCell ref="A1:I1"/>
  </mergeCells>
  <phoneticPr fontId="17" type="noConversion"/>
  <hyperlinks>
    <hyperlink ref="C66" location="none" tooltip="https://i-item.jd.com/100008444149.html?x_usec=f4aa194f09b2ab1add75e5f213d7e12c%252FkeOLXZVoToOsSLKnRYq4EpF9DpOnDpKnELV7SBZ5EpNdR6V7EYJeDeNyNrGZZeN0RYD8RfZeTIJ6SXcoZKWZNpudRpR7SocoYAWZNpucQHOSAJRoTpJyNqzZAHN0RHcoX5WINpucQHOYAKRoToNdSpmfSYN8RYZeRIDfNt4%253" display="26*15mm" xr:uid="{00000000-0004-0000-0200-000000000000}"/>
    <hyperlink ref="C67" location="none" tooltip="https://i-item.jd.com/100008444149.html?x_usec=f4aa194f09b2ab1add75e5f213d7e12c%252FkeOLXZVoToOsSLKnRYq4EpF9DpOnDpKnELV7SBZ5EpNdR6V7EYJeDeNyNrGZZeN0RYD8RfZeTIJ6SXcoZKWZNpudRpR7SocoYAWZNpucQHOSAJRoTpJyNqzZAHN0RHcoX5WINpucQHOYAKRoToNdSpmfSYN8RYZeRIDfNt4%253" display="50mm*28mm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workbookViewId="0">
      <selection sqref="A1:E37"/>
    </sheetView>
  </sheetViews>
  <sheetFormatPr defaultColWidth="8.6640625" defaultRowHeight="14" x14ac:dyDescent="0.3"/>
  <cols>
    <col min="1" max="1" width="5.33203125" style="13" customWidth="1"/>
    <col min="2" max="2" width="26.75" style="1" customWidth="1"/>
    <col min="3" max="3" width="19.25" style="1" customWidth="1"/>
    <col min="4" max="4" width="11.25" style="1" customWidth="1"/>
    <col min="5" max="5" width="8.6640625" style="14"/>
    <col min="6" max="7" width="8.6640625" style="1"/>
  </cols>
  <sheetData>
    <row r="1" spans="1:5" x14ac:dyDescent="0.3">
      <c r="A1" s="51" t="s">
        <v>932</v>
      </c>
      <c r="B1" s="52"/>
      <c r="C1" s="52"/>
      <c r="D1" s="52"/>
      <c r="E1" s="53"/>
    </row>
    <row r="2" spans="1:5" x14ac:dyDescent="0.3">
      <c r="A2" s="15" t="s">
        <v>429</v>
      </c>
      <c r="B2" s="16" t="s">
        <v>430</v>
      </c>
      <c r="C2" s="16" t="s">
        <v>431</v>
      </c>
      <c r="D2" s="17" t="s">
        <v>432</v>
      </c>
      <c r="E2" s="18" t="s">
        <v>433</v>
      </c>
    </row>
    <row r="3" spans="1:5" ht="27" x14ac:dyDescent="0.3">
      <c r="A3" s="19">
        <v>1</v>
      </c>
      <c r="B3" s="17" t="s">
        <v>434</v>
      </c>
      <c r="C3" s="20" t="s">
        <v>435</v>
      </c>
      <c r="D3" s="21" t="s">
        <v>436</v>
      </c>
      <c r="E3" s="18" t="s">
        <v>437</v>
      </c>
    </row>
    <row r="4" spans="1:5" ht="27" x14ac:dyDescent="0.3">
      <c r="A4" s="19">
        <v>2</v>
      </c>
      <c r="B4" s="17" t="s">
        <v>438</v>
      </c>
      <c r="C4" s="20" t="s">
        <v>439</v>
      </c>
      <c r="D4" s="21" t="s">
        <v>436</v>
      </c>
      <c r="E4" s="18" t="s">
        <v>437</v>
      </c>
    </row>
    <row r="5" spans="1:5" ht="27" x14ac:dyDescent="0.3">
      <c r="A5" s="19">
        <v>3</v>
      </c>
      <c r="B5" s="17" t="s">
        <v>440</v>
      </c>
      <c r="C5" s="20" t="s">
        <v>441</v>
      </c>
      <c r="D5" s="21" t="s">
        <v>436</v>
      </c>
      <c r="E5" s="18" t="s">
        <v>437</v>
      </c>
    </row>
    <row r="6" spans="1:5" ht="27" x14ac:dyDescent="0.3">
      <c r="A6" s="19">
        <v>4</v>
      </c>
      <c r="B6" s="17" t="s">
        <v>442</v>
      </c>
      <c r="C6" s="20" t="s">
        <v>443</v>
      </c>
      <c r="D6" s="21" t="s">
        <v>436</v>
      </c>
      <c r="E6" s="18" t="s">
        <v>437</v>
      </c>
    </row>
    <row r="7" spans="1:5" ht="27" x14ac:dyDescent="0.3">
      <c r="A7" s="19">
        <v>5</v>
      </c>
      <c r="B7" s="17" t="s">
        <v>444</v>
      </c>
      <c r="C7" s="20" t="s">
        <v>445</v>
      </c>
      <c r="D7" s="21" t="s">
        <v>436</v>
      </c>
      <c r="E7" s="18" t="s">
        <v>437</v>
      </c>
    </row>
    <row r="8" spans="1:5" ht="27" x14ac:dyDescent="0.3">
      <c r="A8" s="19">
        <v>6</v>
      </c>
      <c r="B8" s="17" t="s">
        <v>446</v>
      </c>
      <c r="C8" s="20" t="s">
        <v>447</v>
      </c>
      <c r="D8" s="21" t="s">
        <v>436</v>
      </c>
      <c r="E8" s="18" t="s">
        <v>437</v>
      </c>
    </row>
    <row r="9" spans="1:5" ht="27" x14ac:dyDescent="0.3">
      <c r="A9" s="19">
        <v>7</v>
      </c>
      <c r="B9" s="17" t="s">
        <v>448</v>
      </c>
      <c r="C9" s="20" t="s">
        <v>449</v>
      </c>
      <c r="D9" s="21" t="s">
        <v>436</v>
      </c>
      <c r="E9" s="18" t="s">
        <v>437</v>
      </c>
    </row>
    <row r="10" spans="1:5" ht="27" x14ac:dyDescent="0.3">
      <c r="A10" s="19">
        <v>8</v>
      </c>
      <c r="B10" s="17" t="s">
        <v>450</v>
      </c>
      <c r="C10" s="20" t="s">
        <v>451</v>
      </c>
      <c r="D10" s="21" t="s">
        <v>436</v>
      </c>
      <c r="E10" s="18" t="s">
        <v>437</v>
      </c>
    </row>
    <row r="11" spans="1:5" ht="27" x14ac:dyDescent="0.3">
      <c r="A11" s="19">
        <v>9</v>
      </c>
      <c r="B11" s="17" t="s">
        <v>452</v>
      </c>
      <c r="C11" s="20" t="s">
        <v>453</v>
      </c>
      <c r="D11" s="21" t="s">
        <v>436</v>
      </c>
      <c r="E11" s="18" t="s">
        <v>437</v>
      </c>
    </row>
    <row r="12" spans="1:5" ht="27" x14ac:dyDescent="0.3">
      <c r="A12" s="19">
        <v>10</v>
      </c>
      <c r="B12" s="17" t="s">
        <v>454</v>
      </c>
      <c r="C12" s="20" t="s">
        <v>455</v>
      </c>
      <c r="D12" s="21" t="s">
        <v>436</v>
      </c>
      <c r="E12" s="18" t="s">
        <v>437</v>
      </c>
    </row>
    <row r="13" spans="1:5" ht="27" x14ac:dyDescent="0.3">
      <c r="A13" s="19">
        <v>11</v>
      </c>
      <c r="B13" s="17" t="s">
        <v>456</v>
      </c>
      <c r="C13" s="20" t="s">
        <v>457</v>
      </c>
      <c r="D13" s="21" t="s">
        <v>436</v>
      </c>
      <c r="E13" s="18" t="s">
        <v>437</v>
      </c>
    </row>
    <row r="14" spans="1:5" ht="28" x14ac:dyDescent="0.3">
      <c r="A14" s="19">
        <v>12</v>
      </c>
      <c r="B14" s="17" t="s">
        <v>458</v>
      </c>
      <c r="C14" s="20" t="s">
        <v>459</v>
      </c>
      <c r="D14" s="21" t="s">
        <v>436</v>
      </c>
      <c r="E14" s="18" t="s">
        <v>437</v>
      </c>
    </row>
    <row r="15" spans="1:5" ht="28" x14ac:dyDescent="0.3">
      <c r="A15" s="19">
        <v>13</v>
      </c>
      <c r="B15" s="17" t="s">
        <v>460</v>
      </c>
      <c r="C15" s="20" t="s">
        <v>461</v>
      </c>
      <c r="D15" s="21" t="s">
        <v>436</v>
      </c>
      <c r="E15" s="18" t="s">
        <v>437</v>
      </c>
    </row>
    <row r="16" spans="1:5" ht="27" x14ac:dyDescent="0.3">
      <c r="A16" s="19">
        <v>14</v>
      </c>
      <c r="B16" s="17" t="s">
        <v>462</v>
      </c>
      <c r="C16" s="20" t="s">
        <v>463</v>
      </c>
      <c r="D16" s="21" t="s">
        <v>436</v>
      </c>
      <c r="E16" s="18" t="s">
        <v>437</v>
      </c>
    </row>
    <row r="17" spans="1:5" ht="28" x14ac:dyDescent="0.3">
      <c r="A17" s="19">
        <v>15</v>
      </c>
      <c r="B17" s="17" t="s">
        <v>464</v>
      </c>
      <c r="C17" s="20" t="s">
        <v>465</v>
      </c>
      <c r="D17" s="21" t="s">
        <v>436</v>
      </c>
      <c r="E17" s="18" t="s">
        <v>437</v>
      </c>
    </row>
    <row r="18" spans="1:5" ht="28" x14ac:dyDescent="0.3">
      <c r="A18" s="19">
        <v>16</v>
      </c>
      <c r="B18" s="17" t="s">
        <v>466</v>
      </c>
      <c r="C18" s="20" t="s">
        <v>467</v>
      </c>
      <c r="D18" s="21" t="s">
        <v>436</v>
      </c>
      <c r="E18" s="18" t="s">
        <v>437</v>
      </c>
    </row>
    <row r="19" spans="1:5" ht="27" x14ac:dyDescent="0.3">
      <c r="A19" s="19">
        <v>17</v>
      </c>
      <c r="B19" s="17" t="s">
        <v>468</v>
      </c>
      <c r="C19" s="20" t="s">
        <v>469</v>
      </c>
      <c r="D19" s="21" t="s">
        <v>436</v>
      </c>
      <c r="E19" s="18" t="s">
        <v>437</v>
      </c>
    </row>
    <row r="20" spans="1:5" ht="28" x14ac:dyDescent="0.3">
      <c r="A20" s="19">
        <v>18</v>
      </c>
      <c r="B20" s="17" t="s">
        <v>470</v>
      </c>
      <c r="C20" s="20" t="s">
        <v>471</v>
      </c>
      <c r="D20" s="21" t="s">
        <v>436</v>
      </c>
      <c r="E20" s="18" t="s">
        <v>437</v>
      </c>
    </row>
    <row r="21" spans="1:5" ht="40.5" x14ac:dyDescent="0.3">
      <c r="A21" s="19">
        <v>19</v>
      </c>
      <c r="B21" s="17" t="s">
        <v>472</v>
      </c>
      <c r="C21" s="20" t="s">
        <v>473</v>
      </c>
      <c r="D21" s="21" t="s">
        <v>436</v>
      </c>
      <c r="E21" s="18" t="s">
        <v>437</v>
      </c>
    </row>
    <row r="22" spans="1:5" ht="27" x14ac:dyDescent="0.3">
      <c r="A22" s="19">
        <v>20</v>
      </c>
      <c r="B22" s="17" t="s">
        <v>474</v>
      </c>
      <c r="C22" s="20" t="s">
        <v>475</v>
      </c>
      <c r="D22" s="21" t="s">
        <v>436</v>
      </c>
      <c r="E22" s="18" t="s">
        <v>437</v>
      </c>
    </row>
    <row r="23" spans="1:5" ht="27" x14ac:dyDescent="0.3">
      <c r="A23" s="19">
        <v>21</v>
      </c>
      <c r="B23" s="17" t="s">
        <v>476</v>
      </c>
      <c r="C23" s="20" t="s">
        <v>477</v>
      </c>
      <c r="D23" s="21" t="s">
        <v>436</v>
      </c>
      <c r="E23" s="18" t="s">
        <v>437</v>
      </c>
    </row>
    <row r="24" spans="1:5" ht="42.5" x14ac:dyDescent="0.3">
      <c r="A24" s="19">
        <v>22</v>
      </c>
      <c r="B24" s="17" t="s">
        <v>478</v>
      </c>
      <c r="C24" s="20" t="s">
        <v>479</v>
      </c>
      <c r="D24" s="21" t="s">
        <v>436</v>
      </c>
      <c r="E24" s="18" t="s">
        <v>437</v>
      </c>
    </row>
    <row r="25" spans="1:5" ht="28.5" x14ac:dyDescent="0.3">
      <c r="A25" s="19">
        <v>23</v>
      </c>
      <c r="B25" s="17" t="s">
        <v>480</v>
      </c>
      <c r="C25" s="20" t="s">
        <v>481</v>
      </c>
      <c r="D25" s="21" t="s">
        <v>436</v>
      </c>
      <c r="E25" s="18" t="s">
        <v>437</v>
      </c>
    </row>
    <row r="26" spans="1:5" ht="39" customHeight="1" x14ac:dyDescent="0.3">
      <c r="A26" s="19">
        <v>24</v>
      </c>
      <c r="B26" s="17" t="s">
        <v>482</v>
      </c>
      <c r="C26" s="20" t="s">
        <v>483</v>
      </c>
      <c r="D26" s="21" t="s">
        <v>436</v>
      </c>
      <c r="E26" s="18" t="s">
        <v>437</v>
      </c>
    </row>
    <row r="27" spans="1:5" ht="28" x14ac:dyDescent="0.3">
      <c r="A27" s="19">
        <v>25</v>
      </c>
      <c r="B27" s="17" t="s">
        <v>484</v>
      </c>
      <c r="C27" s="20" t="s">
        <v>485</v>
      </c>
      <c r="D27" s="21" t="s">
        <v>436</v>
      </c>
      <c r="E27" s="18" t="s">
        <v>437</v>
      </c>
    </row>
    <row r="28" spans="1:5" ht="28" x14ac:dyDescent="0.3">
      <c r="A28" s="19">
        <v>26</v>
      </c>
      <c r="B28" s="17" t="s">
        <v>486</v>
      </c>
      <c r="C28" s="20" t="s">
        <v>487</v>
      </c>
      <c r="D28" s="21" t="s">
        <v>436</v>
      </c>
      <c r="E28" s="18" t="s">
        <v>437</v>
      </c>
    </row>
    <row r="29" spans="1:5" ht="80" customHeight="1" x14ac:dyDescent="0.3">
      <c r="A29" s="19">
        <v>27</v>
      </c>
      <c r="B29" s="17" t="s">
        <v>488</v>
      </c>
      <c r="C29" s="20" t="s">
        <v>489</v>
      </c>
      <c r="D29" s="21" t="s">
        <v>436</v>
      </c>
      <c r="E29" s="18" t="s">
        <v>437</v>
      </c>
    </row>
    <row r="30" spans="1:5" ht="29" x14ac:dyDescent="0.3">
      <c r="A30" s="19">
        <v>28</v>
      </c>
      <c r="B30" s="17" t="s">
        <v>490</v>
      </c>
      <c r="C30" s="20" t="s">
        <v>491</v>
      </c>
      <c r="D30" s="21" t="s">
        <v>436</v>
      </c>
      <c r="E30" s="18" t="s">
        <v>437</v>
      </c>
    </row>
    <row r="31" spans="1:5" ht="42.5" x14ac:dyDescent="0.3">
      <c r="A31" s="19">
        <v>29</v>
      </c>
      <c r="B31" s="17" t="s">
        <v>492</v>
      </c>
      <c r="C31" s="20" t="s">
        <v>493</v>
      </c>
      <c r="D31" s="21" t="s">
        <v>436</v>
      </c>
      <c r="E31" s="18" t="s">
        <v>437</v>
      </c>
    </row>
    <row r="32" spans="1:5" ht="29" x14ac:dyDescent="0.3">
      <c r="A32" s="19">
        <v>30</v>
      </c>
      <c r="B32" s="17" t="s">
        <v>494</v>
      </c>
      <c r="C32" s="20" t="s">
        <v>495</v>
      </c>
      <c r="D32" s="21" t="s">
        <v>436</v>
      </c>
      <c r="E32" s="18" t="s">
        <v>437</v>
      </c>
    </row>
    <row r="33" spans="1:5" ht="28" x14ac:dyDescent="0.3">
      <c r="A33" s="19">
        <v>31</v>
      </c>
      <c r="B33" s="17" t="s">
        <v>496</v>
      </c>
      <c r="C33" s="20" t="s">
        <v>497</v>
      </c>
      <c r="D33" s="21" t="s">
        <v>436</v>
      </c>
      <c r="E33" s="18" t="s">
        <v>437</v>
      </c>
    </row>
    <row r="34" spans="1:5" ht="40.5" x14ac:dyDescent="0.3">
      <c r="A34" s="19">
        <v>32</v>
      </c>
      <c r="B34" s="17" t="s">
        <v>498</v>
      </c>
      <c r="C34" s="20" t="s">
        <v>499</v>
      </c>
      <c r="D34" s="21" t="s">
        <v>436</v>
      </c>
      <c r="E34" s="18" t="s">
        <v>437</v>
      </c>
    </row>
    <row r="35" spans="1:5" ht="42.5" x14ac:dyDescent="0.3">
      <c r="A35" s="19">
        <v>33</v>
      </c>
      <c r="B35" s="17" t="s">
        <v>500</v>
      </c>
      <c r="C35" s="20" t="s">
        <v>501</v>
      </c>
      <c r="D35" s="21" t="s">
        <v>436</v>
      </c>
      <c r="E35" s="18" t="s">
        <v>437</v>
      </c>
    </row>
    <row r="36" spans="1:5" ht="27" x14ac:dyDescent="0.3">
      <c r="A36" s="19">
        <v>34</v>
      </c>
      <c r="B36" s="17" t="s">
        <v>502</v>
      </c>
      <c r="C36" s="20" t="s">
        <v>503</v>
      </c>
      <c r="D36" s="21" t="s">
        <v>436</v>
      </c>
      <c r="E36" s="18" t="s">
        <v>437</v>
      </c>
    </row>
    <row r="37" spans="1:5" ht="27" x14ac:dyDescent="0.3">
      <c r="A37" s="19">
        <v>35</v>
      </c>
      <c r="B37" s="17" t="s">
        <v>504</v>
      </c>
      <c r="C37" s="20" t="s">
        <v>505</v>
      </c>
      <c r="D37" s="21" t="s">
        <v>436</v>
      </c>
      <c r="E37" s="18" t="s">
        <v>437</v>
      </c>
    </row>
  </sheetData>
  <mergeCells count="1">
    <mergeCell ref="A1:E1"/>
  </mergeCells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8"/>
  <sheetViews>
    <sheetView topLeftCell="A6" workbookViewId="0">
      <selection sqref="A1:H128"/>
    </sheetView>
  </sheetViews>
  <sheetFormatPr defaultColWidth="8.6640625" defaultRowHeight="14" x14ac:dyDescent="0.3"/>
  <cols>
    <col min="1" max="1" width="8.6640625" style="1"/>
    <col min="2" max="2" width="11.5" style="1"/>
    <col min="3" max="3" width="22.4140625" style="1" customWidth="1"/>
    <col min="4" max="5" width="8.6640625" style="1"/>
    <col min="6" max="6" width="13.83203125" style="1" customWidth="1"/>
    <col min="7" max="7" width="36" style="1" customWidth="1"/>
    <col min="8" max="8" width="8.6640625" style="1"/>
  </cols>
  <sheetData>
    <row r="1" spans="1:8" x14ac:dyDescent="0.3">
      <c r="A1" s="54" t="s">
        <v>933</v>
      </c>
      <c r="B1" s="54"/>
      <c r="C1" s="54"/>
      <c r="D1" s="54"/>
      <c r="E1" s="54"/>
      <c r="F1" s="54"/>
      <c r="G1" s="54"/>
      <c r="H1" s="54"/>
    </row>
    <row r="2" spans="1:8" ht="15.5" x14ac:dyDescent="0.3">
      <c r="A2" s="2" t="s">
        <v>506</v>
      </c>
      <c r="B2" s="2" t="s">
        <v>507</v>
      </c>
      <c r="C2" s="2" t="s">
        <v>508</v>
      </c>
      <c r="D2" s="2" t="s">
        <v>509</v>
      </c>
      <c r="E2" s="2" t="s">
        <v>510</v>
      </c>
      <c r="F2" s="3" t="s">
        <v>511</v>
      </c>
      <c r="G2" s="3" t="s">
        <v>512</v>
      </c>
      <c r="H2" s="2" t="s">
        <v>513</v>
      </c>
    </row>
    <row r="3" spans="1:8" x14ac:dyDescent="0.3">
      <c r="A3" s="4">
        <v>1</v>
      </c>
      <c r="B3" s="4">
        <v>202211001</v>
      </c>
      <c r="C3" s="4" t="s">
        <v>514</v>
      </c>
      <c r="D3" s="4" t="s">
        <v>515</v>
      </c>
      <c r="E3" s="4" t="s">
        <v>516</v>
      </c>
      <c r="F3" s="5" t="s">
        <v>517</v>
      </c>
      <c r="G3" s="5" t="s">
        <v>518</v>
      </c>
      <c r="H3" s="4" t="s">
        <v>519</v>
      </c>
    </row>
    <row r="4" spans="1:8" ht="42" x14ac:dyDescent="0.3">
      <c r="A4" s="4">
        <v>2</v>
      </c>
      <c r="B4" s="4">
        <v>202211002</v>
      </c>
      <c r="C4" s="4" t="s">
        <v>520</v>
      </c>
      <c r="D4" s="4" t="s">
        <v>521</v>
      </c>
      <c r="E4" s="4" t="s">
        <v>522</v>
      </c>
      <c r="F4" s="5" t="s">
        <v>523</v>
      </c>
      <c r="G4" s="5" t="s">
        <v>524</v>
      </c>
      <c r="H4" s="4" t="s">
        <v>519</v>
      </c>
    </row>
    <row r="5" spans="1:8" x14ac:dyDescent="0.3">
      <c r="A5" s="4">
        <v>3</v>
      </c>
      <c r="B5" s="4">
        <v>202211003</v>
      </c>
      <c r="C5" s="4" t="s">
        <v>525</v>
      </c>
      <c r="D5" s="4" t="s">
        <v>526</v>
      </c>
      <c r="E5" s="4" t="s">
        <v>527</v>
      </c>
      <c r="F5" s="5" t="s">
        <v>528</v>
      </c>
      <c r="G5" s="5" t="s">
        <v>529</v>
      </c>
      <c r="H5" s="4" t="s">
        <v>519</v>
      </c>
    </row>
    <row r="6" spans="1:8" ht="42" x14ac:dyDescent="0.3">
      <c r="A6" s="4">
        <v>4</v>
      </c>
      <c r="B6" s="4">
        <v>202212001</v>
      </c>
      <c r="C6" s="4" t="s">
        <v>530</v>
      </c>
      <c r="D6" s="4" t="s">
        <v>531</v>
      </c>
      <c r="E6" s="4" t="s">
        <v>532</v>
      </c>
      <c r="F6" s="5" t="s">
        <v>523</v>
      </c>
      <c r="G6" s="5" t="s">
        <v>524</v>
      </c>
      <c r="H6" s="4" t="s">
        <v>519</v>
      </c>
    </row>
    <row r="7" spans="1:8" x14ac:dyDescent="0.3">
      <c r="A7" s="4">
        <v>5</v>
      </c>
      <c r="B7" s="4">
        <v>202212002</v>
      </c>
      <c r="C7" s="4" t="s">
        <v>533</v>
      </c>
      <c r="D7" s="4" t="s">
        <v>534</v>
      </c>
      <c r="E7" s="4" t="s">
        <v>535</v>
      </c>
      <c r="F7" s="5" t="s">
        <v>517</v>
      </c>
      <c r="G7" s="5" t="s">
        <v>518</v>
      </c>
      <c r="H7" s="4" t="s">
        <v>519</v>
      </c>
    </row>
    <row r="8" spans="1:8" x14ac:dyDescent="0.3">
      <c r="A8" s="4">
        <v>6</v>
      </c>
      <c r="B8" s="4">
        <v>202212003</v>
      </c>
      <c r="C8" s="4" t="s">
        <v>536</v>
      </c>
      <c r="D8" s="4" t="s">
        <v>537</v>
      </c>
      <c r="E8" s="4" t="s">
        <v>538</v>
      </c>
      <c r="F8" s="5" t="s">
        <v>528</v>
      </c>
      <c r="G8" s="5" t="s">
        <v>529</v>
      </c>
      <c r="H8" s="4" t="s">
        <v>519</v>
      </c>
    </row>
    <row r="9" spans="1:8" ht="46.5" x14ac:dyDescent="0.3">
      <c r="A9" s="6">
        <v>7</v>
      </c>
      <c r="B9" s="6">
        <v>202301001</v>
      </c>
      <c r="C9" s="6" t="s">
        <v>539</v>
      </c>
      <c r="D9" s="6" t="s">
        <v>540</v>
      </c>
      <c r="E9" s="6" t="s">
        <v>541</v>
      </c>
      <c r="F9" s="7" t="s">
        <v>523</v>
      </c>
      <c r="G9" s="7" t="s">
        <v>524</v>
      </c>
      <c r="H9" s="6" t="s">
        <v>519</v>
      </c>
    </row>
    <row r="10" spans="1:8" ht="15.5" x14ac:dyDescent="0.3">
      <c r="A10" s="6">
        <v>8</v>
      </c>
      <c r="B10" s="6">
        <v>202301002</v>
      </c>
      <c r="C10" s="6" t="s">
        <v>542</v>
      </c>
      <c r="D10" s="6" t="s">
        <v>543</v>
      </c>
      <c r="E10" s="6" t="s">
        <v>544</v>
      </c>
      <c r="F10" s="7" t="s">
        <v>517</v>
      </c>
      <c r="G10" s="7" t="s">
        <v>518</v>
      </c>
      <c r="H10" s="6" t="s">
        <v>519</v>
      </c>
    </row>
    <row r="11" spans="1:8" ht="15.5" x14ac:dyDescent="0.3">
      <c r="A11" s="6">
        <v>9</v>
      </c>
      <c r="B11" s="6">
        <v>202301003</v>
      </c>
      <c r="C11" s="6" t="s">
        <v>545</v>
      </c>
      <c r="D11" s="6" t="s">
        <v>546</v>
      </c>
      <c r="E11" s="6" t="s">
        <v>547</v>
      </c>
      <c r="F11" s="7" t="s">
        <v>528</v>
      </c>
      <c r="G11" s="7" t="s">
        <v>529</v>
      </c>
      <c r="H11" s="6" t="s">
        <v>519</v>
      </c>
    </row>
    <row r="12" spans="1:8" ht="46.5" x14ac:dyDescent="0.3">
      <c r="A12" s="6">
        <v>10</v>
      </c>
      <c r="B12" s="6">
        <v>202302001</v>
      </c>
      <c r="C12" s="6" t="s">
        <v>548</v>
      </c>
      <c r="D12" s="6" t="s">
        <v>549</v>
      </c>
      <c r="E12" s="6" t="s">
        <v>550</v>
      </c>
      <c r="F12" s="7" t="s">
        <v>523</v>
      </c>
      <c r="G12" s="7" t="s">
        <v>524</v>
      </c>
      <c r="H12" s="6" t="s">
        <v>519</v>
      </c>
    </row>
    <row r="13" spans="1:8" ht="15.5" x14ac:dyDescent="0.3">
      <c r="A13" s="6">
        <v>11</v>
      </c>
      <c r="B13" s="6">
        <v>202302002</v>
      </c>
      <c r="C13" s="6" t="s">
        <v>551</v>
      </c>
      <c r="D13" s="6" t="s">
        <v>552</v>
      </c>
      <c r="E13" s="6" t="s">
        <v>553</v>
      </c>
      <c r="F13" s="7" t="s">
        <v>528</v>
      </c>
      <c r="G13" s="7" t="s">
        <v>529</v>
      </c>
      <c r="H13" s="6" t="s">
        <v>519</v>
      </c>
    </row>
    <row r="14" spans="1:8" ht="15.5" x14ac:dyDescent="0.3">
      <c r="A14" s="6">
        <v>12</v>
      </c>
      <c r="B14" s="6">
        <v>202302003</v>
      </c>
      <c r="C14" s="6" t="s">
        <v>554</v>
      </c>
      <c r="D14" s="6" t="s">
        <v>555</v>
      </c>
      <c r="E14" s="6" t="s">
        <v>556</v>
      </c>
      <c r="F14" s="7" t="s">
        <v>517</v>
      </c>
      <c r="G14" s="7" t="s">
        <v>518</v>
      </c>
      <c r="H14" s="6" t="s">
        <v>519</v>
      </c>
    </row>
    <row r="15" spans="1:8" ht="46.5" x14ac:dyDescent="0.3">
      <c r="A15" s="6">
        <v>13</v>
      </c>
      <c r="B15" s="6">
        <v>202303001</v>
      </c>
      <c r="C15" s="6" t="s">
        <v>557</v>
      </c>
      <c r="D15" s="6" t="s">
        <v>558</v>
      </c>
      <c r="E15" s="6" t="s">
        <v>559</v>
      </c>
      <c r="F15" s="7" t="s">
        <v>523</v>
      </c>
      <c r="G15" s="7" t="s">
        <v>524</v>
      </c>
      <c r="H15" s="6" t="s">
        <v>519</v>
      </c>
    </row>
    <row r="16" spans="1:8" ht="15.5" x14ac:dyDescent="0.3">
      <c r="A16" s="6">
        <v>14</v>
      </c>
      <c r="B16" s="6">
        <v>202303002</v>
      </c>
      <c r="C16" s="6" t="s">
        <v>560</v>
      </c>
      <c r="D16" s="6" t="s">
        <v>561</v>
      </c>
      <c r="E16" s="6" t="s">
        <v>562</v>
      </c>
      <c r="F16" s="7" t="s">
        <v>517</v>
      </c>
      <c r="G16" s="7" t="s">
        <v>518</v>
      </c>
      <c r="H16" s="6" t="s">
        <v>519</v>
      </c>
    </row>
    <row r="17" spans="1:8" ht="15.5" x14ac:dyDescent="0.3">
      <c r="A17" s="6">
        <v>15</v>
      </c>
      <c r="B17" s="6">
        <v>202303003</v>
      </c>
      <c r="C17" s="6" t="s">
        <v>563</v>
      </c>
      <c r="D17" s="6" t="s">
        <v>564</v>
      </c>
      <c r="E17" s="6" t="s">
        <v>565</v>
      </c>
      <c r="F17" s="7" t="s">
        <v>528</v>
      </c>
      <c r="G17" s="7" t="s">
        <v>529</v>
      </c>
      <c r="H17" s="6" t="s">
        <v>519</v>
      </c>
    </row>
    <row r="18" spans="1:8" ht="31" x14ac:dyDescent="0.3">
      <c r="A18" s="6">
        <v>16</v>
      </c>
      <c r="B18" s="6">
        <v>202304001</v>
      </c>
      <c r="C18" s="6" t="s">
        <v>566</v>
      </c>
      <c r="D18" s="6" t="s">
        <v>567</v>
      </c>
      <c r="E18" s="6" t="s">
        <v>568</v>
      </c>
      <c r="F18" s="7" t="s">
        <v>569</v>
      </c>
      <c r="G18" s="7" t="s">
        <v>570</v>
      </c>
      <c r="H18" s="6" t="s">
        <v>571</v>
      </c>
    </row>
    <row r="19" spans="1:8" ht="46.5" x14ac:dyDescent="0.3">
      <c r="A19" s="6">
        <v>17</v>
      </c>
      <c r="B19" s="6">
        <v>202304002</v>
      </c>
      <c r="C19" s="6" t="s">
        <v>572</v>
      </c>
      <c r="D19" s="6" t="s">
        <v>568</v>
      </c>
      <c r="E19" s="6" t="s">
        <v>573</v>
      </c>
      <c r="F19" s="7" t="s">
        <v>523</v>
      </c>
      <c r="G19" s="7" t="s">
        <v>524</v>
      </c>
      <c r="H19" s="6" t="s">
        <v>519</v>
      </c>
    </row>
    <row r="20" spans="1:8" ht="15.5" x14ac:dyDescent="0.3">
      <c r="A20" s="6">
        <v>18</v>
      </c>
      <c r="B20" s="6">
        <v>202304003</v>
      </c>
      <c r="C20" s="6" t="s">
        <v>574</v>
      </c>
      <c r="D20" s="6" t="s">
        <v>568</v>
      </c>
      <c r="E20" s="6" t="s">
        <v>573</v>
      </c>
      <c r="F20" s="7" t="s">
        <v>575</v>
      </c>
      <c r="G20" s="7" t="s">
        <v>576</v>
      </c>
      <c r="H20" s="6" t="s">
        <v>577</v>
      </c>
    </row>
    <row r="21" spans="1:8" ht="15.5" x14ac:dyDescent="0.3">
      <c r="A21" s="6">
        <v>19</v>
      </c>
      <c r="B21" s="6">
        <v>202304004</v>
      </c>
      <c r="C21" s="6" t="s">
        <v>578</v>
      </c>
      <c r="D21" s="6" t="s">
        <v>568</v>
      </c>
      <c r="E21" s="6" t="s">
        <v>573</v>
      </c>
      <c r="F21" s="7" t="s">
        <v>579</v>
      </c>
      <c r="G21" s="7" t="s">
        <v>580</v>
      </c>
      <c r="H21" s="6" t="s">
        <v>571</v>
      </c>
    </row>
    <row r="22" spans="1:8" ht="15.5" x14ac:dyDescent="0.3">
      <c r="A22" s="6">
        <v>20</v>
      </c>
      <c r="B22" s="6">
        <v>202304005</v>
      </c>
      <c r="C22" s="6" t="s">
        <v>581</v>
      </c>
      <c r="D22" s="6" t="s">
        <v>573</v>
      </c>
      <c r="E22" s="6" t="s">
        <v>582</v>
      </c>
      <c r="F22" s="7" t="s">
        <v>517</v>
      </c>
      <c r="G22" s="7" t="s">
        <v>518</v>
      </c>
      <c r="H22" s="6" t="s">
        <v>519</v>
      </c>
    </row>
    <row r="23" spans="1:8" ht="31" x14ac:dyDescent="0.3">
      <c r="A23" s="6">
        <v>21</v>
      </c>
      <c r="B23" s="6">
        <v>202304006</v>
      </c>
      <c r="C23" s="6" t="s">
        <v>583</v>
      </c>
      <c r="D23" s="6" t="s">
        <v>582</v>
      </c>
      <c r="E23" s="6" t="s">
        <v>584</v>
      </c>
      <c r="F23" s="7" t="s">
        <v>585</v>
      </c>
      <c r="G23" s="7" t="s">
        <v>586</v>
      </c>
      <c r="H23" s="6" t="s">
        <v>571</v>
      </c>
    </row>
    <row r="24" spans="1:8" ht="46.5" x14ac:dyDescent="0.3">
      <c r="A24" s="6">
        <v>22</v>
      </c>
      <c r="B24" s="6">
        <v>202304007</v>
      </c>
      <c r="C24" s="6" t="s">
        <v>587</v>
      </c>
      <c r="D24" s="6" t="s">
        <v>588</v>
      </c>
      <c r="E24" s="6" t="s">
        <v>589</v>
      </c>
      <c r="F24" s="7" t="s">
        <v>590</v>
      </c>
      <c r="G24" s="7" t="s">
        <v>591</v>
      </c>
      <c r="H24" s="6" t="s">
        <v>571</v>
      </c>
    </row>
    <row r="25" spans="1:8" ht="15.5" x14ac:dyDescent="0.3">
      <c r="A25" s="6">
        <v>23</v>
      </c>
      <c r="B25" s="6">
        <v>202304008</v>
      </c>
      <c r="C25" s="6" t="s">
        <v>592</v>
      </c>
      <c r="D25" s="6" t="s">
        <v>589</v>
      </c>
      <c r="E25" s="6" t="s">
        <v>593</v>
      </c>
      <c r="F25" s="7" t="s">
        <v>528</v>
      </c>
      <c r="G25" s="7" t="s">
        <v>529</v>
      </c>
      <c r="H25" s="6" t="s">
        <v>519</v>
      </c>
    </row>
    <row r="26" spans="1:8" ht="15.5" x14ac:dyDescent="0.3">
      <c r="A26" s="6">
        <v>24</v>
      </c>
      <c r="B26" s="6">
        <v>202304009</v>
      </c>
      <c r="C26" s="6" t="s">
        <v>594</v>
      </c>
      <c r="D26" s="6" t="s">
        <v>593</v>
      </c>
      <c r="E26" s="6" t="s">
        <v>595</v>
      </c>
      <c r="F26" s="7" t="s">
        <v>596</v>
      </c>
      <c r="G26" s="7" t="s">
        <v>597</v>
      </c>
      <c r="H26" s="6" t="s">
        <v>571</v>
      </c>
    </row>
    <row r="27" spans="1:8" ht="31" x14ac:dyDescent="0.3">
      <c r="A27" s="6">
        <v>25</v>
      </c>
      <c r="B27" s="6">
        <v>202304010</v>
      </c>
      <c r="C27" s="6" t="s">
        <v>598</v>
      </c>
      <c r="D27" s="6" t="s">
        <v>593</v>
      </c>
      <c r="E27" s="6" t="s">
        <v>599</v>
      </c>
      <c r="F27" s="7" t="s">
        <v>523</v>
      </c>
      <c r="G27" s="7" t="s">
        <v>600</v>
      </c>
      <c r="H27" s="6" t="s">
        <v>519</v>
      </c>
    </row>
    <row r="28" spans="1:8" ht="15.5" x14ac:dyDescent="0.3">
      <c r="A28" s="6">
        <v>26</v>
      </c>
      <c r="B28" s="6">
        <v>202304011</v>
      </c>
      <c r="C28" s="6" t="s">
        <v>601</v>
      </c>
      <c r="D28" s="6" t="s">
        <v>602</v>
      </c>
      <c r="E28" s="6" t="s">
        <v>603</v>
      </c>
      <c r="F28" s="7" t="s">
        <v>604</v>
      </c>
      <c r="G28" s="7" t="s">
        <v>605</v>
      </c>
      <c r="H28" s="6" t="s">
        <v>571</v>
      </c>
    </row>
    <row r="29" spans="1:8" ht="15.5" x14ac:dyDescent="0.3">
      <c r="A29" s="6">
        <v>27</v>
      </c>
      <c r="B29" s="6">
        <v>202304012</v>
      </c>
      <c r="C29" s="6" t="s">
        <v>606</v>
      </c>
      <c r="D29" s="6" t="s">
        <v>607</v>
      </c>
      <c r="E29" s="6" t="s">
        <v>608</v>
      </c>
      <c r="F29" s="7" t="s">
        <v>609</v>
      </c>
      <c r="G29" s="7" t="s">
        <v>605</v>
      </c>
      <c r="H29" s="6" t="s">
        <v>571</v>
      </c>
    </row>
    <row r="30" spans="1:8" ht="15.5" x14ac:dyDescent="0.3">
      <c r="A30" s="6">
        <v>28</v>
      </c>
      <c r="B30" s="6">
        <v>202304013</v>
      </c>
      <c r="C30" s="6" t="s">
        <v>610</v>
      </c>
      <c r="D30" s="6" t="s">
        <v>611</v>
      </c>
      <c r="E30" s="6" t="s">
        <v>608</v>
      </c>
      <c r="F30" s="7" t="s">
        <v>612</v>
      </c>
      <c r="G30" s="7" t="s">
        <v>605</v>
      </c>
      <c r="H30" s="6" t="s">
        <v>571</v>
      </c>
    </row>
    <row r="31" spans="1:8" ht="15.5" x14ac:dyDescent="0.3">
      <c r="A31" s="6">
        <v>29</v>
      </c>
      <c r="B31" s="6">
        <v>202304014</v>
      </c>
      <c r="C31" s="6" t="s">
        <v>613</v>
      </c>
      <c r="D31" s="6" t="s">
        <v>611</v>
      </c>
      <c r="E31" s="6" t="s">
        <v>608</v>
      </c>
      <c r="F31" s="7" t="s">
        <v>614</v>
      </c>
      <c r="G31" s="7" t="s">
        <v>615</v>
      </c>
      <c r="H31" s="6" t="s">
        <v>571</v>
      </c>
    </row>
    <row r="32" spans="1:8" ht="15.5" x14ac:dyDescent="0.3">
      <c r="A32" s="6">
        <v>30</v>
      </c>
      <c r="B32" s="6">
        <v>202304015</v>
      </c>
      <c r="C32" s="6" t="s">
        <v>616</v>
      </c>
      <c r="D32" s="6" t="s">
        <v>608</v>
      </c>
      <c r="E32" s="6" t="s">
        <v>617</v>
      </c>
      <c r="F32" s="7" t="s">
        <v>618</v>
      </c>
      <c r="G32" s="7" t="s">
        <v>615</v>
      </c>
      <c r="H32" s="6" t="s">
        <v>571</v>
      </c>
    </row>
    <row r="33" spans="1:8" ht="15.5" x14ac:dyDescent="0.3">
      <c r="A33" s="8">
        <v>31</v>
      </c>
      <c r="B33" s="8">
        <v>202305001</v>
      </c>
      <c r="C33" s="8" t="s">
        <v>619</v>
      </c>
      <c r="D33" s="8" t="s">
        <v>620</v>
      </c>
      <c r="E33" s="6" t="s">
        <v>621</v>
      </c>
      <c r="F33" s="7" t="s">
        <v>622</v>
      </c>
      <c r="G33" s="7" t="s">
        <v>576</v>
      </c>
      <c r="H33" s="6" t="s">
        <v>577</v>
      </c>
    </row>
    <row r="34" spans="1:8" ht="15.5" x14ac:dyDescent="0.3">
      <c r="A34" s="8">
        <v>32</v>
      </c>
      <c r="B34" s="8">
        <v>202305002</v>
      </c>
      <c r="C34" s="8" t="s">
        <v>623</v>
      </c>
      <c r="D34" s="8" t="s">
        <v>620</v>
      </c>
      <c r="E34" s="8" t="s">
        <v>624</v>
      </c>
      <c r="F34" s="9" t="s">
        <v>625</v>
      </c>
      <c r="G34" s="7" t="s">
        <v>580</v>
      </c>
      <c r="H34" s="8" t="s">
        <v>571</v>
      </c>
    </row>
    <row r="35" spans="1:8" ht="15.5" x14ac:dyDescent="0.3">
      <c r="A35" s="8">
        <v>33</v>
      </c>
      <c r="B35" s="8">
        <v>202305003</v>
      </c>
      <c r="C35" s="8" t="s">
        <v>626</v>
      </c>
      <c r="D35" s="8" t="s">
        <v>624</v>
      </c>
      <c r="E35" s="8" t="s">
        <v>621</v>
      </c>
      <c r="F35" s="9" t="s">
        <v>627</v>
      </c>
      <c r="G35" s="7" t="s">
        <v>605</v>
      </c>
      <c r="H35" s="8" t="s">
        <v>571</v>
      </c>
    </row>
    <row r="36" spans="1:8" ht="15.5" x14ac:dyDescent="0.3">
      <c r="A36" s="8">
        <v>34</v>
      </c>
      <c r="B36" s="8">
        <v>202305004</v>
      </c>
      <c r="C36" s="8" t="s">
        <v>628</v>
      </c>
      <c r="D36" s="8" t="s">
        <v>621</v>
      </c>
      <c r="E36" s="8" t="s">
        <v>629</v>
      </c>
      <c r="F36" s="9" t="s">
        <v>630</v>
      </c>
      <c r="G36" s="7" t="s">
        <v>615</v>
      </c>
      <c r="H36" s="8" t="s">
        <v>571</v>
      </c>
    </row>
    <row r="37" spans="1:8" ht="46.5" x14ac:dyDescent="0.3">
      <c r="A37" s="8">
        <v>35</v>
      </c>
      <c r="B37" s="8">
        <v>202305005</v>
      </c>
      <c r="C37" s="8" t="s">
        <v>631</v>
      </c>
      <c r="D37" s="8" t="s">
        <v>621</v>
      </c>
      <c r="E37" s="8" t="s">
        <v>629</v>
      </c>
      <c r="F37" s="9" t="s">
        <v>523</v>
      </c>
      <c r="G37" s="7" t="s">
        <v>524</v>
      </c>
      <c r="H37" s="8" t="s">
        <v>519</v>
      </c>
    </row>
    <row r="38" spans="1:8" ht="15.5" x14ac:dyDescent="0.3">
      <c r="A38" s="8">
        <v>36</v>
      </c>
      <c r="B38" s="8">
        <v>202305006</v>
      </c>
      <c r="C38" s="8" t="s">
        <v>632</v>
      </c>
      <c r="D38" s="8" t="s">
        <v>621</v>
      </c>
      <c r="E38" s="8" t="s">
        <v>629</v>
      </c>
      <c r="F38" s="9" t="s">
        <v>633</v>
      </c>
      <c r="G38" s="7" t="s">
        <v>615</v>
      </c>
      <c r="H38" s="8" t="s">
        <v>571</v>
      </c>
    </row>
    <row r="39" spans="1:8" ht="15.5" x14ac:dyDescent="0.3">
      <c r="A39" s="8">
        <v>37</v>
      </c>
      <c r="B39" s="8">
        <v>202305007</v>
      </c>
      <c r="C39" s="8" t="s">
        <v>634</v>
      </c>
      <c r="D39" s="8" t="s">
        <v>635</v>
      </c>
      <c r="E39" s="8" t="s">
        <v>636</v>
      </c>
      <c r="F39" s="9" t="s">
        <v>637</v>
      </c>
      <c r="G39" s="7" t="s">
        <v>638</v>
      </c>
      <c r="H39" s="8" t="s">
        <v>571</v>
      </c>
    </row>
    <row r="40" spans="1:8" ht="31" x14ac:dyDescent="0.3">
      <c r="A40" s="8">
        <v>38</v>
      </c>
      <c r="B40" s="8">
        <v>202305008</v>
      </c>
      <c r="C40" s="8" t="s">
        <v>639</v>
      </c>
      <c r="D40" s="8" t="s">
        <v>636</v>
      </c>
      <c r="E40" s="8" t="s">
        <v>640</v>
      </c>
      <c r="F40" s="9" t="s">
        <v>641</v>
      </c>
      <c r="G40" s="7" t="s">
        <v>605</v>
      </c>
      <c r="H40" s="8" t="s">
        <v>571</v>
      </c>
    </row>
    <row r="41" spans="1:8" ht="31" x14ac:dyDescent="0.3">
      <c r="A41" s="8">
        <v>39</v>
      </c>
      <c r="B41" s="8">
        <v>202305009</v>
      </c>
      <c r="C41" s="8" t="s">
        <v>642</v>
      </c>
      <c r="D41" s="8" t="s">
        <v>640</v>
      </c>
      <c r="E41" s="8" t="s">
        <v>643</v>
      </c>
      <c r="F41" s="9" t="s">
        <v>644</v>
      </c>
      <c r="G41" s="7" t="s">
        <v>586</v>
      </c>
      <c r="H41" s="8" t="s">
        <v>571</v>
      </c>
    </row>
    <row r="42" spans="1:8" ht="15.5" x14ac:dyDescent="0.3">
      <c r="A42" s="8">
        <v>40</v>
      </c>
      <c r="B42" s="8">
        <v>202305010</v>
      </c>
      <c r="C42" s="8" t="s">
        <v>645</v>
      </c>
      <c r="D42" s="8" t="s">
        <v>646</v>
      </c>
      <c r="E42" s="8" t="s">
        <v>647</v>
      </c>
      <c r="F42" s="9" t="s">
        <v>648</v>
      </c>
      <c r="G42" s="7" t="s">
        <v>615</v>
      </c>
      <c r="H42" s="8" t="s">
        <v>571</v>
      </c>
    </row>
    <row r="43" spans="1:8" ht="15.5" x14ac:dyDescent="0.3">
      <c r="A43" s="8">
        <v>41</v>
      </c>
      <c r="B43" s="8">
        <v>202305011</v>
      </c>
      <c r="C43" s="8" t="s">
        <v>649</v>
      </c>
      <c r="D43" s="8" t="s">
        <v>646</v>
      </c>
      <c r="E43" s="8" t="s">
        <v>647</v>
      </c>
      <c r="F43" s="9" t="s">
        <v>517</v>
      </c>
      <c r="G43" s="7" t="s">
        <v>518</v>
      </c>
      <c r="H43" s="8" t="s">
        <v>519</v>
      </c>
    </row>
    <row r="44" spans="1:8" ht="46.5" x14ac:dyDescent="0.3">
      <c r="A44" s="8">
        <v>42</v>
      </c>
      <c r="B44" s="8">
        <v>202305012</v>
      </c>
      <c r="C44" s="8" t="s">
        <v>650</v>
      </c>
      <c r="D44" s="8" t="s">
        <v>647</v>
      </c>
      <c r="E44" s="8" t="s">
        <v>651</v>
      </c>
      <c r="F44" s="9" t="s">
        <v>652</v>
      </c>
      <c r="G44" s="10" t="s">
        <v>652</v>
      </c>
      <c r="H44" s="8" t="s">
        <v>577</v>
      </c>
    </row>
    <row r="45" spans="1:8" ht="46.5" x14ac:dyDescent="0.3">
      <c r="A45" s="8">
        <v>43</v>
      </c>
      <c r="B45" s="8">
        <v>202305013</v>
      </c>
      <c r="C45" s="8" t="s">
        <v>653</v>
      </c>
      <c r="D45" s="8" t="s">
        <v>647</v>
      </c>
      <c r="E45" s="8" t="s">
        <v>651</v>
      </c>
      <c r="F45" s="9" t="s">
        <v>654</v>
      </c>
      <c r="G45" s="10" t="s">
        <v>654</v>
      </c>
      <c r="H45" s="8" t="s">
        <v>577</v>
      </c>
    </row>
    <row r="46" spans="1:8" ht="46.5" x14ac:dyDescent="0.3">
      <c r="A46" s="8">
        <v>44</v>
      </c>
      <c r="B46" s="8">
        <v>202305014</v>
      </c>
      <c r="C46" s="8" t="s">
        <v>655</v>
      </c>
      <c r="D46" s="8" t="s">
        <v>647</v>
      </c>
      <c r="E46" s="8" t="s">
        <v>651</v>
      </c>
      <c r="F46" s="9" t="s">
        <v>656</v>
      </c>
      <c r="G46" s="10" t="s">
        <v>656</v>
      </c>
      <c r="H46" s="8" t="s">
        <v>577</v>
      </c>
    </row>
    <row r="47" spans="1:8" ht="15.5" x14ac:dyDescent="0.3">
      <c r="A47" s="8">
        <v>45</v>
      </c>
      <c r="B47" s="8">
        <v>202305015</v>
      </c>
      <c r="C47" s="8" t="s">
        <v>657</v>
      </c>
      <c r="D47" s="8" t="s">
        <v>647</v>
      </c>
      <c r="E47" s="8" t="s">
        <v>658</v>
      </c>
      <c r="F47" s="9" t="s">
        <v>659</v>
      </c>
      <c r="G47" s="7" t="s">
        <v>660</v>
      </c>
      <c r="H47" s="8" t="s">
        <v>571</v>
      </c>
    </row>
    <row r="48" spans="1:8" ht="31" x14ac:dyDescent="0.3">
      <c r="A48" s="8">
        <v>46</v>
      </c>
      <c r="B48" s="8">
        <v>202305016</v>
      </c>
      <c r="C48" s="8" t="s">
        <v>661</v>
      </c>
      <c r="D48" s="8" t="s">
        <v>662</v>
      </c>
      <c r="E48" s="8" t="s">
        <v>663</v>
      </c>
      <c r="F48" s="9" t="s">
        <v>664</v>
      </c>
      <c r="G48" s="7" t="s">
        <v>665</v>
      </c>
      <c r="H48" s="8" t="s">
        <v>571</v>
      </c>
    </row>
    <row r="49" spans="1:8" ht="15.5" x14ac:dyDescent="0.3">
      <c r="A49" s="8">
        <v>47</v>
      </c>
      <c r="B49" s="8">
        <v>202305017</v>
      </c>
      <c r="C49" s="8" t="s">
        <v>666</v>
      </c>
      <c r="D49" s="8" t="s">
        <v>663</v>
      </c>
      <c r="E49" s="8" t="s">
        <v>667</v>
      </c>
      <c r="F49" s="9" t="s">
        <v>668</v>
      </c>
      <c r="G49" s="7" t="s">
        <v>669</v>
      </c>
      <c r="H49" s="8" t="s">
        <v>571</v>
      </c>
    </row>
    <row r="50" spans="1:8" ht="15.5" x14ac:dyDescent="0.3">
      <c r="A50" s="8">
        <v>48</v>
      </c>
      <c r="B50" s="8">
        <v>202305018</v>
      </c>
      <c r="C50" s="8" t="s">
        <v>670</v>
      </c>
      <c r="D50" s="8" t="s">
        <v>667</v>
      </c>
      <c r="E50" s="8" t="s">
        <v>671</v>
      </c>
      <c r="F50" s="9" t="s">
        <v>672</v>
      </c>
      <c r="G50" s="7" t="s">
        <v>615</v>
      </c>
      <c r="H50" s="8" t="s">
        <v>571</v>
      </c>
    </row>
    <row r="51" spans="1:8" ht="15.5" x14ac:dyDescent="0.3">
      <c r="A51" s="8">
        <v>49</v>
      </c>
      <c r="B51" s="8">
        <v>202305019</v>
      </c>
      <c r="C51" s="8" t="s">
        <v>673</v>
      </c>
      <c r="D51" s="8" t="s">
        <v>671</v>
      </c>
      <c r="E51" s="8" t="s">
        <v>674</v>
      </c>
      <c r="F51" s="9" t="s">
        <v>528</v>
      </c>
      <c r="G51" s="7" t="s">
        <v>529</v>
      </c>
      <c r="H51" s="8" t="s">
        <v>519</v>
      </c>
    </row>
    <row r="52" spans="1:8" ht="15.5" x14ac:dyDescent="0.3">
      <c r="A52" s="8">
        <v>50</v>
      </c>
      <c r="B52" s="8">
        <v>202305020</v>
      </c>
      <c r="C52" s="8" t="s">
        <v>675</v>
      </c>
      <c r="D52" s="8" t="s">
        <v>674</v>
      </c>
      <c r="E52" s="8" t="s">
        <v>676</v>
      </c>
      <c r="F52" s="9" t="s">
        <v>677</v>
      </c>
      <c r="G52" s="7" t="s">
        <v>605</v>
      </c>
      <c r="H52" s="8" t="s">
        <v>571</v>
      </c>
    </row>
    <row r="53" spans="1:8" ht="31" x14ac:dyDescent="0.3">
      <c r="A53" s="8">
        <v>51</v>
      </c>
      <c r="B53" s="8">
        <v>202305021</v>
      </c>
      <c r="C53" s="8" t="s">
        <v>678</v>
      </c>
      <c r="D53" s="8" t="s">
        <v>679</v>
      </c>
      <c r="E53" s="8" t="s">
        <v>680</v>
      </c>
      <c r="F53" s="9" t="s">
        <v>681</v>
      </c>
      <c r="G53" s="7" t="s">
        <v>682</v>
      </c>
      <c r="H53" s="8" t="s">
        <v>519</v>
      </c>
    </row>
    <row r="54" spans="1:8" ht="46.5" x14ac:dyDescent="0.3">
      <c r="A54" s="8">
        <v>52</v>
      </c>
      <c r="B54" s="8">
        <v>202305022</v>
      </c>
      <c r="C54" s="8" t="s">
        <v>683</v>
      </c>
      <c r="D54" s="8" t="s">
        <v>680</v>
      </c>
      <c r="E54" s="8" t="s">
        <v>684</v>
      </c>
      <c r="F54" s="9" t="s">
        <v>685</v>
      </c>
      <c r="G54" s="7"/>
      <c r="H54" s="8" t="s">
        <v>519</v>
      </c>
    </row>
    <row r="55" spans="1:8" ht="15.5" x14ac:dyDescent="0.3">
      <c r="A55" s="8">
        <v>53</v>
      </c>
      <c r="B55" s="8">
        <v>202306001</v>
      </c>
      <c r="C55" s="8" t="s">
        <v>686</v>
      </c>
      <c r="D55" s="8" t="s">
        <v>687</v>
      </c>
      <c r="E55" s="8" t="s">
        <v>688</v>
      </c>
      <c r="F55" s="9" t="s">
        <v>618</v>
      </c>
      <c r="G55" s="7" t="s">
        <v>615</v>
      </c>
      <c r="H55" s="8" t="s">
        <v>571</v>
      </c>
    </row>
    <row r="56" spans="1:8" ht="15.5" x14ac:dyDescent="0.3">
      <c r="A56" s="8">
        <v>54</v>
      </c>
      <c r="B56" s="6">
        <v>202306002</v>
      </c>
      <c r="C56" s="8" t="s">
        <v>689</v>
      </c>
      <c r="D56" s="6" t="s">
        <v>690</v>
      </c>
      <c r="E56" s="6" t="s">
        <v>691</v>
      </c>
      <c r="F56" s="7" t="s">
        <v>692</v>
      </c>
      <c r="G56" s="7" t="s">
        <v>693</v>
      </c>
      <c r="H56" s="8" t="s">
        <v>571</v>
      </c>
    </row>
    <row r="57" spans="1:8" ht="15.5" x14ac:dyDescent="0.3">
      <c r="A57" s="8">
        <v>55</v>
      </c>
      <c r="B57" s="6">
        <v>202306003</v>
      </c>
      <c r="C57" s="8" t="s">
        <v>694</v>
      </c>
      <c r="D57" s="6" t="s">
        <v>695</v>
      </c>
      <c r="E57" s="6" t="s">
        <v>696</v>
      </c>
      <c r="F57" s="7" t="s">
        <v>648</v>
      </c>
      <c r="G57" s="7" t="s">
        <v>615</v>
      </c>
      <c r="H57" s="8" t="s">
        <v>571</v>
      </c>
    </row>
    <row r="58" spans="1:8" ht="15.5" x14ac:dyDescent="0.3">
      <c r="A58" s="8">
        <v>56</v>
      </c>
      <c r="B58" s="6">
        <v>202306004</v>
      </c>
      <c r="C58" s="8" t="s">
        <v>697</v>
      </c>
      <c r="D58" s="6" t="s">
        <v>698</v>
      </c>
      <c r="E58" s="6" t="s">
        <v>699</v>
      </c>
      <c r="F58" s="7" t="s">
        <v>700</v>
      </c>
      <c r="G58" s="7" t="s">
        <v>701</v>
      </c>
      <c r="H58" s="8" t="s">
        <v>519</v>
      </c>
    </row>
    <row r="59" spans="1:8" ht="15.5" x14ac:dyDescent="0.3">
      <c r="A59" s="8">
        <v>57</v>
      </c>
      <c r="B59" s="6">
        <v>202306005</v>
      </c>
      <c r="C59" s="8" t="s">
        <v>702</v>
      </c>
      <c r="D59" s="6" t="s">
        <v>699</v>
      </c>
      <c r="E59" s="6" t="s">
        <v>703</v>
      </c>
      <c r="F59" s="7" t="s">
        <v>704</v>
      </c>
      <c r="G59" s="7" t="s">
        <v>665</v>
      </c>
      <c r="H59" s="8" t="s">
        <v>571</v>
      </c>
    </row>
    <row r="60" spans="1:8" ht="46.5" x14ac:dyDescent="0.3">
      <c r="A60" s="8">
        <v>58</v>
      </c>
      <c r="B60" s="6">
        <v>202306006</v>
      </c>
      <c r="C60" s="8" t="s">
        <v>705</v>
      </c>
      <c r="D60" s="6" t="s">
        <v>706</v>
      </c>
      <c r="E60" s="6" t="s">
        <v>707</v>
      </c>
      <c r="F60" s="7" t="s">
        <v>708</v>
      </c>
      <c r="G60" s="7"/>
      <c r="H60" s="8" t="s">
        <v>519</v>
      </c>
    </row>
    <row r="61" spans="1:8" ht="15.5" x14ac:dyDescent="0.3">
      <c r="A61" s="8">
        <v>59</v>
      </c>
      <c r="B61" s="6">
        <v>202306007</v>
      </c>
      <c r="C61" s="8" t="s">
        <v>709</v>
      </c>
      <c r="D61" s="6" t="s">
        <v>710</v>
      </c>
      <c r="E61" s="6" t="s">
        <v>711</v>
      </c>
      <c r="F61" s="7" t="s">
        <v>712</v>
      </c>
      <c r="G61" s="7" t="s">
        <v>713</v>
      </c>
      <c r="H61" s="8" t="s">
        <v>571</v>
      </c>
    </row>
    <row r="62" spans="1:8" ht="15.5" x14ac:dyDescent="0.3">
      <c r="A62" s="8">
        <v>60</v>
      </c>
      <c r="B62" s="6">
        <v>202306008</v>
      </c>
      <c r="C62" s="8" t="s">
        <v>714</v>
      </c>
      <c r="D62" s="6" t="s">
        <v>710</v>
      </c>
      <c r="E62" s="6" t="s">
        <v>711</v>
      </c>
      <c r="F62" s="7" t="s">
        <v>528</v>
      </c>
      <c r="G62" s="7" t="s">
        <v>715</v>
      </c>
      <c r="H62" s="8" t="s">
        <v>519</v>
      </c>
    </row>
    <row r="63" spans="1:8" ht="15.5" x14ac:dyDescent="0.3">
      <c r="A63" s="8">
        <v>61</v>
      </c>
      <c r="B63" s="6">
        <v>202306009</v>
      </c>
      <c r="C63" s="8" t="s">
        <v>716</v>
      </c>
      <c r="D63" s="6" t="s">
        <v>717</v>
      </c>
      <c r="E63" s="6" t="s">
        <v>718</v>
      </c>
      <c r="F63" s="7" t="s">
        <v>719</v>
      </c>
      <c r="G63" s="7" t="s">
        <v>615</v>
      </c>
      <c r="H63" s="8" t="s">
        <v>571</v>
      </c>
    </row>
    <row r="64" spans="1:8" ht="15.5" x14ac:dyDescent="0.3">
      <c r="A64" s="8">
        <v>62</v>
      </c>
      <c r="B64" s="6">
        <v>202306010</v>
      </c>
      <c r="C64" s="8" t="s">
        <v>720</v>
      </c>
      <c r="D64" s="6" t="s">
        <v>721</v>
      </c>
      <c r="E64" s="6" t="s">
        <v>722</v>
      </c>
      <c r="F64" s="7" t="s">
        <v>723</v>
      </c>
      <c r="G64" s="7" t="s">
        <v>605</v>
      </c>
      <c r="H64" s="8" t="s">
        <v>571</v>
      </c>
    </row>
    <row r="65" spans="1:8" ht="15.5" x14ac:dyDescent="0.3">
      <c r="A65" s="8">
        <v>63</v>
      </c>
      <c r="B65" s="6">
        <v>202306011</v>
      </c>
      <c r="C65" s="8" t="s">
        <v>724</v>
      </c>
      <c r="D65" s="6" t="s">
        <v>721</v>
      </c>
      <c r="E65" s="6" t="s">
        <v>722</v>
      </c>
      <c r="F65" s="7" t="s">
        <v>523</v>
      </c>
      <c r="G65" s="7" t="s">
        <v>725</v>
      </c>
      <c r="H65" s="8" t="s">
        <v>726</v>
      </c>
    </row>
    <row r="66" spans="1:8" ht="15.5" x14ac:dyDescent="0.3">
      <c r="A66" s="8">
        <v>64</v>
      </c>
      <c r="B66" s="6">
        <v>202307001</v>
      </c>
      <c r="C66" s="8" t="s">
        <v>727</v>
      </c>
      <c r="D66" s="6" t="s">
        <v>722</v>
      </c>
      <c r="E66" s="6" t="s">
        <v>651</v>
      </c>
      <c r="F66" s="7" t="s">
        <v>728</v>
      </c>
      <c r="G66" s="7" t="s">
        <v>615</v>
      </c>
      <c r="H66" s="8" t="s">
        <v>571</v>
      </c>
    </row>
    <row r="67" spans="1:8" ht="31" x14ac:dyDescent="0.3">
      <c r="A67" s="8">
        <v>65</v>
      </c>
      <c r="B67" s="6">
        <v>202307002</v>
      </c>
      <c r="C67" s="8" t="s">
        <v>729</v>
      </c>
      <c r="D67" s="6" t="s">
        <v>722</v>
      </c>
      <c r="E67" s="6" t="s">
        <v>651</v>
      </c>
      <c r="F67" s="7" t="s">
        <v>730</v>
      </c>
      <c r="G67" s="7" t="s">
        <v>731</v>
      </c>
      <c r="H67" s="8" t="s">
        <v>571</v>
      </c>
    </row>
    <row r="68" spans="1:8" ht="15.5" x14ac:dyDescent="0.3">
      <c r="A68" s="8">
        <v>66</v>
      </c>
      <c r="B68" s="6">
        <v>202307003</v>
      </c>
      <c r="C68" s="8" t="s">
        <v>732</v>
      </c>
      <c r="D68" s="6" t="s">
        <v>733</v>
      </c>
      <c r="E68" s="6" t="s">
        <v>734</v>
      </c>
      <c r="F68" s="7" t="s">
        <v>612</v>
      </c>
      <c r="G68" s="7" t="s">
        <v>605</v>
      </c>
      <c r="H68" s="8" t="s">
        <v>571</v>
      </c>
    </row>
    <row r="69" spans="1:8" ht="15.5" x14ac:dyDescent="0.3">
      <c r="A69" s="8">
        <v>67</v>
      </c>
      <c r="B69" s="6">
        <v>202307004</v>
      </c>
      <c r="C69" s="8" t="s">
        <v>735</v>
      </c>
      <c r="D69" s="6" t="s">
        <v>736</v>
      </c>
      <c r="E69" s="6" t="s">
        <v>737</v>
      </c>
      <c r="F69" s="7" t="s">
        <v>738</v>
      </c>
      <c r="G69" s="7" t="s">
        <v>615</v>
      </c>
      <c r="H69" s="8" t="s">
        <v>571</v>
      </c>
    </row>
    <row r="70" spans="1:8" ht="31" x14ac:dyDescent="0.3">
      <c r="A70" s="8">
        <v>68</v>
      </c>
      <c r="B70" s="6">
        <v>202307005</v>
      </c>
      <c r="C70" s="8" t="s">
        <v>739</v>
      </c>
      <c r="D70" s="6" t="s">
        <v>740</v>
      </c>
      <c r="E70" s="6" t="s">
        <v>741</v>
      </c>
      <c r="F70" s="7" t="s">
        <v>742</v>
      </c>
      <c r="G70" s="7" t="s">
        <v>576</v>
      </c>
      <c r="H70" s="8" t="s">
        <v>577</v>
      </c>
    </row>
    <row r="71" spans="1:8" ht="15.5" x14ac:dyDescent="0.3">
      <c r="A71" s="8">
        <v>69</v>
      </c>
      <c r="B71" s="6">
        <v>202307006</v>
      </c>
      <c r="C71" s="8" t="s">
        <v>743</v>
      </c>
      <c r="D71" s="6" t="s">
        <v>741</v>
      </c>
      <c r="E71" s="6" t="s">
        <v>744</v>
      </c>
      <c r="F71" s="7" t="s">
        <v>614</v>
      </c>
      <c r="G71" s="7" t="s">
        <v>615</v>
      </c>
      <c r="H71" s="8" t="s">
        <v>571</v>
      </c>
    </row>
    <row r="72" spans="1:8" ht="46.5" x14ac:dyDescent="0.3">
      <c r="A72" s="8">
        <v>70</v>
      </c>
      <c r="B72" s="6">
        <v>202307007</v>
      </c>
      <c r="C72" s="8" t="s">
        <v>745</v>
      </c>
      <c r="D72" s="6" t="s">
        <v>746</v>
      </c>
      <c r="E72" s="6" t="s">
        <v>747</v>
      </c>
      <c r="F72" s="7" t="s">
        <v>748</v>
      </c>
      <c r="G72" s="7"/>
      <c r="H72" s="8" t="s">
        <v>571</v>
      </c>
    </row>
    <row r="73" spans="1:8" ht="15.5" x14ac:dyDescent="0.3">
      <c r="A73" s="8">
        <v>71</v>
      </c>
      <c r="B73" s="6">
        <v>202307008</v>
      </c>
      <c r="C73" s="8" t="s">
        <v>749</v>
      </c>
      <c r="D73" s="6" t="s">
        <v>750</v>
      </c>
      <c r="E73" s="6" t="s">
        <v>751</v>
      </c>
      <c r="F73" s="7" t="s">
        <v>604</v>
      </c>
      <c r="G73" s="7" t="s">
        <v>605</v>
      </c>
      <c r="H73" s="8" t="s">
        <v>571</v>
      </c>
    </row>
    <row r="74" spans="1:8" ht="15.5" x14ac:dyDescent="0.3">
      <c r="A74" s="8">
        <v>72</v>
      </c>
      <c r="B74" s="6">
        <v>202307009</v>
      </c>
      <c r="C74" s="8" t="s">
        <v>752</v>
      </c>
      <c r="D74" s="6" t="s">
        <v>753</v>
      </c>
      <c r="E74" s="6" t="s">
        <v>754</v>
      </c>
      <c r="F74" s="7" t="s">
        <v>755</v>
      </c>
      <c r="G74" s="7" t="s">
        <v>756</v>
      </c>
      <c r="H74" s="8" t="s">
        <v>571</v>
      </c>
    </row>
    <row r="75" spans="1:8" ht="15.5" x14ac:dyDescent="0.3">
      <c r="A75" s="8">
        <v>73</v>
      </c>
      <c r="B75" s="6">
        <v>202307010</v>
      </c>
      <c r="C75" s="8" t="s">
        <v>757</v>
      </c>
      <c r="D75" s="6" t="s">
        <v>758</v>
      </c>
      <c r="E75" s="6" t="s">
        <v>759</v>
      </c>
      <c r="F75" s="7" t="s">
        <v>700</v>
      </c>
      <c r="G75" s="7" t="s">
        <v>760</v>
      </c>
      <c r="H75" s="8" t="s">
        <v>519</v>
      </c>
    </row>
    <row r="76" spans="1:8" ht="31" x14ac:dyDescent="0.3">
      <c r="A76" s="8">
        <v>74</v>
      </c>
      <c r="B76" s="6">
        <v>202308001</v>
      </c>
      <c r="C76" s="8" t="s">
        <v>761</v>
      </c>
      <c r="D76" s="6" t="s">
        <v>762</v>
      </c>
      <c r="E76" s="6" t="s">
        <v>763</v>
      </c>
      <c r="F76" s="7" t="s">
        <v>764</v>
      </c>
      <c r="G76" s="7" t="s">
        <v>615</v>
      </c>
      <c r="H76" s="8" t="s">
        <v>571</v>
      </c>
    </row>
    <row r="77" spans="1:8" ht="31" x14ac:dyDescent="0.3">
      <c r="A77" s="8">
        <v>75</v>
      </c>
      <c r="B77" s="6">
        <v>202308002</v>
      </c>
      <c r="C77" s="8" t="s">
        <v>765</v>
      </c>
      <c r="D77" s="6" t="s">
        <v>766</v>
      </c>
      <c r="E77" s="6" t="s">
        <v>767</v>
      </c>
      <c r="F77" s="7" t="s">
        <v>768</v>
      </c>
      <c r="G77" s="7" t="s">
        <v>665</v>
      </c>
      <c r="H77" s="8" t="s">
        <v>571</v>
      </c>
    </row>
    <row r="78" spans="1:8" ht="46.5" x14ac:dyDescent="0.3">
      <c r="A78" s="8">
        <v>76</v>
      </c>
      <c r="B78" s="6">
        <v>202308003</v>
      </c>
      <c r="C78" s="8" t="s">
        <v>769</v>
      </c>
      <c r="D78" s="6" t="s">
        <v>770</v>
      </c>
      <c r="E78" s="6" t="s">
        <v>771</v>
      </c>
      <c r="F78" s="7" t="s">
        <v>772</v>
      </c>
      <c r="G78" s="7" t="s">
        <v>605</v>
      </c>
      <c r="H78" s="8" t="s">
        <v>571</v>
      </c>
    </row>
    <row r="79" spans="1:8" ht="31" x14ac:dyDescent="0.3">
      <c r="A79" s="8">
        <v>77</v>
      </c>
      <c r="B79" s="6">
        <v>202308004</v>
      </c>
      <c r="C79" s="8" t="s">
        <v>773</v>
      </c>
      <c r="D79" s="6" t="s">
        <v>771</v>
      </c>
      <c r="E79" s="6" t="s">
        <v>774</v>
      </c>
      <c r="F79" s="7" t="s">
        <v>775</v>
      </c>
      <c r="G79" s="7" t="s">
        <v>776</v>
      </c>
      <c r="H79" s="8" t="s">
        <v>571</v>
      </c>
    </row>
    <row r="80" spans="1:8" ht="31" x14ac:dyDescent="0.3">
      <c r="A80" s="8">
        <v>78</v>
      </c>
      <c r="B80" s="6">
        <v>202308005</v>
      </c>
      <c r="C80" s="8" t="s">
        <v>777</v>
      </c>
      <c r="D80" s="6" t="s">
        <v>778</v>
      </c>
      <c r="E80" s="6" t="s">
        <v>779</v>
      </c>
      <c r="F80" s="7" t="s">
        <v>780</v>
      </c>
      <c r="G80" s="7" t="s">
        <v>781</v>
      </c>
      <c r="H80" s="8" t="s">
        <v>571</v>
      </c>
    </row>
    <row r="81" spans="1:8" ht="46.5" x14ac:dyDescent="0.3">
      <c r="A81" s="8">
        <v>79</v>
      </c>
      <c r="B81" s="6">
        <v>202308006</v>
      </c>
      <c r="C81" s="8" t="s">
        <v>782</v>
      </c>
      <c r="D81" s="6" t="s">
        <v>783</v>
      </c>
      <c r="E81" s="6" t="s">
        <v>784</v>
      </c>
      <c r="F81" s="7" t="s">
        <v>785</v>
      </c>
      <c r="G81" s="7" t="s">
        <v>605</v>
      </c>
      <c r="H81" s="8" t="s">
        <v>571</v>
      </c>
    </row>
    <row r="82" spans="1:8" ht="46.5" x14ac:dyDescent="0.3">
      <c r="A82" s="8">
        <v>80</v>
      </c>
      <c r="B82" s="6">
        <v>202308007</v>
      </c>
      <c r="C82" s="8" t="s">
        <v>786</v>
      </c>
      <c r="D82" s="6" t="s">
        <v>784</v>
      </c>
      <c r="E82" s="6" t="s">
        <v>787</v>
      </c>
      <c r="F82" s="7" t="s">
        <v>788</v>
      </c>
      <c r="G82" s="7" t="s">
        <v>605</v>
      </c>
      <c r="H82" s="8" t="s">
        <v>571</v>
      </c>
    </row>
    <row r="83" spans="1:8" ht="15.5" x14ac:dyDescent="0.3">
      <c r="A83" s="8">
        <v>81</v>
      </c>
      <c r="B83" s="6">
        <v>202308008</v>
      </c>
      <c r="C83" s="8" t="s">
        <v>789</v>
      </c>
      <c r="D83" s="6" t="s">
        <v>787</v>
      </c>
      <c r="E83" s="6" t="s">
        <v>790</v>
      </c>
      <c r="F83" s="7" t="s">
        <v>700</v>
      </c>
      <c r="G83" s="7" t="s">
        <v>791</v>
      </c>
      <c r="H83" s="8" t="s">
        <v>519</v>
      </c>
    </row>
    <row r="84" spans="1:8" ht="15.5" x14ac:dyDescent="0.3">
      <c r="A84" s="8">
        <v>82</v>
      </c>
      <c r="B84" s="6">
        <v>202308009</v>
      </c>
      <c r="C84" s="8" t="s">
        <v>792</v>
      </c>
      <c r="D84" s="6" t="s">
        <v>790</v>
      </c>
      <c r="E84" s="6" t="s">
        <v>793</v>
      </c>
      <c r="F84" s="7" t="s">
        <v>794</v>
      </c>
      <c r="G84" s="7" t="s">
        <v>576</v>
      </c>
      <c r="H84" s="8" t="s">
        <v>795</v>
      </c>
    </row>
    <row r="85" spans="1:8" ht="31" x14ac:dyDescent="0.3">
      <c r="A85" s="8">
        <v>83</v>
      </c>
      <c r="B85" s="6">
        <v>202308010</v>
      </c>
      <c r="C85" s="8" t="s">
        <v>796</v>
      </c>
      <c r="D85" s="6" t="s">
        <v>790</v>
      </c>
      <c r="E85" s="6" t="s">
        <v>797</v>
      </c>
      <c r="F85" s="7" t="s">
        <v>798</v>
      </c>
      <c r="G85" s="7" t="s">
        <v>799</v>
      </c>
      <c r="H85" s="8" t="s">
        <v>726</v>
      </c>
    </row>
    <row r="86" spans="1:8" ht="31" x14ac:dyDescent="0.3">
      <c r="A86" s="8">
        <v>84</v>
      </c>
      <c r="B86" s="6">
        <v>202308011</v>
      </c>
      <c r="C86" s="8" t="s">
        <v>800</v>
      </c>
      <c r="D86" s="6" t="s">
        <v>797</v>
      </c>
      <c r="E86" s="6" t="s">
        <v>801</v>
      </c>
      <c r="F86" s="7" t="s">
        <v>802</v>
      </c>
      <c r="G86" s="7" t="s">
        <v>615</v>
      </c>
      <c r="H86" s="8" t="s">
        <v>571</v>
      </c>
    </row>
    <row r="87" spans="1:8" ht="15.5" x14ac:dyDescent="0.3">
      <c r="A87" s="8">
        <v>85</v>
      </c>
      <c r="B87" s="6">
        <v>202308012</v>
      </c>
      <c r="C87" s="8" t="s">
        <v>803</v>
      </c>
      <c r="D87" s="6" t="s">
        <v>804</v>
      </c>
      <c r="E87" s="6" t="s">
        <v>805</v>
      </c>
      <c r="F87" s="7" t="s">
        <v>523</v>
      </c>
      <c r="G87" s="7" t="s">
        <v>682</v>
      </c>
      <c r="H87" s="8" t="s">
        <v>726</v>
      </c>
    </row>
    <row r="88" spans="1:8" ht="31" x14ac:dyDescent="0.3">
      <c r="A88" s="8">
        <v>86</v>
      </c>
      <c r="B88" s="6">
        <v>202309001</v>
      </c>
      <c r="C88" s="8" t="s">
        <v>806</v>
      </c>
      <c r="D88" s="6" t="s">
        <v>805</v>
      </c>
      <c r="E88" s="6" t="s">
        <v>807</v>
      </c>
      <c r="F88" s="7" t="s">
        <v>808</v>
      </c>
      <c r="G88" s="7" t="s">
        <v>615</v>
      </c>
      <c r="H88" s="8" t="s">
        <v>571</v>
      </c>
    </row>
    <row r="89" spans="1:8" ht="15.5" x14ac:dyDescent="0.3">
      <c r="A89" s="8">
        <v>87</v>
      </c>
      <c r="B89" s="6">
        <v>202309002</v>
      </c>
      <c r="C89" s="8" t="s">
        <v>809</v>
      </c>
      <c r="D89" s="6" t="s">
        <v>810</v>
      </c>
      <c r="E89" s="6" t="s">
        <v>811</v>
      </c>
      <c r="F89" s="7" t="s">
        <v>812</v>
      </c>
      <c r="G89" s="7" t="s">
        <v>605</v>
      </c>
      <c r="H89" s="6" t="s">
        <v>571</v>
      </c>
    </row>
    <row r="90" spans="1:8" ht="15.5" x14ac:dyDescent="0.3">
      <c r="A90" s="8">
        <v>88</v>
      </c>
      <c r="B90" s="6">
        <v>202309003</v>
      </c>
      <c r="C90" s="8" t="s">
        <v>813</v>
      </c>
      <c r="D90" s="6" t="s">
        <v>814</v>
      </c>
      <c r="E90" s="6" t="s">
        <v>815</v>
      </c>
      <c r="F90" s="7" t="s">
        <v>618</v>
      </c>
      <c r="G90" s="7" t="s">
        <v>615</v>
      </c>
      <c r="H90" s="6" t="s">
        <v>571</v>
      </c>
    </row>
    <row r="91" spans="1:8" ht="31" x14ac:dyDescent="0.3">
      <c r="A91" s="8">
        <v>89</v>
      </c>
      <c r="B91" s="6">
        <v>202309004</v>
      </c>
      <c r="C91" s="8" t="s">
        <v>816</v>
      </c>
      <c r="D91" s="6" t="s">
        <v>817</v>
      </c>
      <c r="E91" s="6" t="s">
        <v>818</v>
      </c>
      <c r="F91" s="7" t="s">
        <v>819</v>
      </c>
      <c r="G91" s="7" t="s">
        <v>605</v>
      </c>
      <c r="H91" s="6" t="s">
        <v>571</v>
      </c>
    </row>
    <row r="92" spans="1:8" ht="15.5" x14ac:dyDescent="0.3">
      <c r="A92" s="8">
        <v>90</v>
      </c>
      <c r="B92" s="6">
        <v>202309005</v>
      </c>
      <c r="C92" s="8" t="s">
        <v>820</v>
      </c>
      <c r="D92" s="6" t="s">
        <v>818</v>
      </c>
      <c r="E92" s="6" t="s">
        <v>821</v>
      </c>
      <c r="F92" s="7" t="s">
        <v>528</v>
      </c>
      <c r="G92" s="7" t="s">
        <v>822</v>
      </c>
      <c r="H92" s="6" t="s">
        <v>519</v>
      </c>
    </row>
    <row r="93" spans="1:8" ht="15.5" x14ac:dyDescent="0.3">
      <c r="A93" s="8">
        <v>91</v>
      </c>
      <c r="B93" s="6">
        <v>202309006</v>
      </c>
      <c r="C93" s="8" t="s">
        <v>823</v>
      </c>
      <c r="D93" s="6" t="s">
        <v>818</v>
      </c>
      <c r="E93" s="6" t="s">
        <v>821</v>
      </c>
      <c r="F93" s="7" t="s">
        <v>824</v>
      </c>
      <c r="G93" s="7" t="s">
        <v>576</v>
      </c>
      <c r="H93" s="6" t="s">
        <v>577</v>
      </c>
    </row>
    <row r="94" spans="1:8" ht="31" x14ac:dyDescent="0.3">
      <c r="A94" s="8">
        <v>92</v>
      </c>
      <c r="B94" s="6">
        <v>202309007</v>
      </c>
      <c r="C94" s="8" t="s">
        <v>825</v>
      </c>
      <c r="D94" s="6" t="s">
        <v>818</v>
      </c>
      <c r="E94" s="6" t="s">
        <v>821</v>
      </c>
      <c r="F94" s="7" t="s">
        <v>826</v>
      </c>
      <c r="G94" s="7" t="s">
        <v>615</v>
      </c>
      <c r="H94" s="6" t="s">
        <v>571</v>
      </c>
    </row>
    <row r="95" spans="1:8" ht="46.5" x14ac:dyDescent="0.3">
      <c r="A95" s="8">
        <v>93</v>
      </c>
      <c r="B95" s="6">
        <v>202309008</v>
      </c>
      <c r="C95" s="8" t="s">
        <v>827</v>
      </c>
      <c r="D95" s="6" t="s">
        <v>818</v>
      </c>
      <c r="E95" s="6" t="s">
        <v>821</v>
      </c>
      <c r="F95" s="7" t="s">
        <v>828</v>
      </c>
      <c r="G95" s="7" t="s">
        <v>605</v>
      </c>
      <c r="H95" s="6" t="s">
        <v>571</v>
      </c>
    </row>
    <row r="96" spans="1:8" ht="31" x14ac:dyDescent="0.3">
      <c r="A96" s="8">
        <v>94</v>
      </c>
      <c r="B96" s="6">
        <v>202309009</v>
      </c>
      <c r="C96" s="8" t="s">
        <v>829</v>
      </c>
      <c r="D96" s="6" t="s">
        <v>821</v>
      </c>
      <c r="E96" s="6" t="s">
        <v>830</v>
      </c>
      <c r="F96" s="7" t="s">
        <v>831</v>
      </c>
      <c r="G96" s="7" t="s">
        <v>615</v>
      </c>
      <c r="H96" s="6" t="s">
        <v>571</v>
      </c>
    </row>
    <row r="97" spans="1:8" ht="31" x14ac:dyDescent="0.3">
      <c r="A97" s="8">
        <v>95</v>
      </c>
      <c r="B97" s="6">
        <v>202309010</v>
      </c>
      <c r="C97" s="8" t="s">
        <v>832</v>
      </c>
      <c r="D97" s="6" t="s">
        <v>821</v>
      </c>
      <c r="E97" s="6" t="s">
        <v>830</v>
      </c>
      <c r="F97" s="7" t="s">
        <v>833</v>
      </c>
      <c r="G97" s="7" t="s">
        <v>605</v>
      </c>
      <c r="H97" s="6" t="s">
        <v>571</v>
      </c>
    </row>
    <row r="98" spans="1:8" ht="15.5" x14ac:dyDescent="0.3">
      <c r="A98" s="8">
        <v>96</v>
      </c>
      <c r="B98" s="6">
        <v>202309007</v>
      </c>
      <c r="C98" s="8" t="s">
        <v>834</v>
      </c>
      <c r="D98" s="6" t="s">
        <v>830</v>
      </c>
      <c r="E98" s="6" t="s">
        <v>835</v>
      </c>
      <c r="F98" s="7" t="s">
        <v>836</v>
      </c>
      <c r="G98" s="7" t="s">
        <v>665</v>
      </c>
      <c r="H98" s="6" t="s">
        <v>571</v>
      </c>
    </row>
    <row r="99" spans="1:8" ht="31" x14ac:dyDescent="0.3">
      <c r="A99" s="8">
        <v>97</v>
      </c>
      <c r="B99" s="6">
        <v>202309012</v>
      </c>
      <c r="C99" s="6" t="s">
        <v>837</v>
      </c>
      <c r="D99" s="6" t="s">
        <v>830</v>
      </c>
      <c r="E99" s="6" t="s">
        <v>835</v>
      </c>
      <c r="F99" s="7" t="s">
        <v>838</v>
      </c>
      <c r="G99" s="7" t="s">
        <v>781</v>
      </c>
      <c r="H99" s="6" t="s">
        <v>571</v>
      </c>
    </row>
    <row r="100" spans="1:8" ht="15.5" x14ac:dyDescent="0.3">
      <c r="A100" s="8">
        <v>98</v>
      </c>
      <c r="B100" s="6">
        <v>202309013</v>
      </c>
      <c r="C100" s="6" t="s">
        <v>839</v>
      </c>
      <c r="D100" s="6" t="s">
        <v>835</v>
      </c>
      <c r="E100" s="6" t="s">
        <v>840</v>
      </c>
      <c r="F100" s="7" t="s">
        <v>677</v>
      </c>
      <c r="G100" s="7" t="s">
        <v>605</v>
      </c>
      <c r="H100" s="6" t="s">
        <v>571</v>
      </c>
    </row>
    <row r="101" spans="1:8" ht="15.5" x14ac:dyDescent="0.3">
      <c r="A101" s="8">
        <v>99</v>
      </c>
      <c r="B101" s="6">
        <v>202309014</v>
      </c>
      <c r="C101" s="6" t="s">
        <v>841</v>
      </c>
      <c r="D101" s="6" t="s">
        <v>835</v>
      </c>
      <c r="E101" s="6" t="s">
        <v>840</v>
      </c>
      <c r="F101" s="7" t="s">
        <v>842</v>
      </c>
      <c r="G101" s="7" t="s">
        <v>843</v>
      </c>
      <c r="H101" s="6" t="s">
        <v>571</v>
      </c>
    </row>
    <row r="102" spans="1:8" ht="46.5" x14ac:dyDescent="0.3">
      <c r="A102" s="8">
        <v>100</v>
      </c>
      <c r="B102" s="6">
        <v>202309015</v>
      </c>
      <c r="C102" s="6" t="s">
        <v>844</v>
      </c>
      <c r="D102" s="6" t="s">
        <v>840</v>
      </c>
      <c r="E102" s="6" t="s">
        <v>845</v>
      </c>
      <c r="F102" s="7" t="s">
        <v>846</v>
      </c>
      <c r="G102" s="7" t="s">
        <v>605</v>
      </c>
      <c r="H102" s="6" t="s">
        <v>571</v>
      </c>
    </row>
    <row r="103" spans="1:8" ht="15.5" x14ac:dyDescent="0.3">
      <c r="A103" s="8">
        <v>101</v>
      </c>
      <c r="B103" s="6">
        <v>202310001</v>
      </c>
      <c r="C103" s="6" t="s">
        <v>847</v>
      </c>
      <c r="D103" s="6" t="s">
        <v>848</v>
      </c>
      <c r="E103" s="6" t="s">
        <v>849</v>
      </c>
      <c r="F103" s="7" t="s">
        <v>850</v>
      </c>
      <c r="G103" s="7" t="s">
        <v>576</v>
      </c>
      <c r="H103" s="6" t="s">
        <v>795</v>
      </c>
    </row>
    <row r="104" spans="1:8" ht="31" x14ac:dyDescent="0.3">
      <c r="A104" s="8">
        <v>102</v>
      </c>
      <c r="B104" s="6">
        <v>202310002</v>
      </c>
      <c r="C104" s="6" t="s">
        <v>851</v>
      </c>
      <c r="D104" s="6" t="s">
        <v>852</v>
      </c>
      <c r="E104" s="6" t="s">
        <v>853</v>
      </c>
      <c r="F104" s="7" t="s">
        <v>854</v>
      </c>
      <c r="G104" s="7" t="s">
        <v>665</v>
      </c>
      <c r="H104" s="6" t="s">
        <v>571</v>
      </c>
    </row>
    <row r="105" spans="1:8" ht="31" x14ac:dyDescent="0.3">
      <c r="A105" s="8">
        <v>103</v>
      </c>
      <c r="B105" s="6">
        <v>202310003</v>
      </c>
      <c r="C105" s="6" t="s">
        <v>855</v>
      </c>
      <c r="D105" s="6" t="s">
        <v>853</v>
      </c>
      <c r="E105" s="6" t="s">
        <v>856</v>
      </c>
      <c r="F105" s="7" t="s">
        <v>523</v>
      </c>
      <c r="G105" s="7" t="s">
        <v>799</v>
      </c>
      <c r="H105" s="8" t="s">
        <v>726</v>
      </c>
    </row>
    <row r="106" spans="1:8" ht="15.5" x14ac:dyDescent="0.3">
      <c r="A106" s="8">
        <v>104</v>
      </c>
      <c r="B106" s="6">
        <v>202310004</v>
      </c>
      <c r="C106" s="6" t="s">
        <v>857</v>
      </c>
      <c r="D106" s="6" t="s">
        <v>858</v>
      </c>
      <c r="E106" s="6" t="s">
        <v>859</v>
      </c>
      <c r="F106" s="7" t="s">
        <v>860</v>
      </c>
      <c r="G106" s="7" t="s">
        <v>605</v>
      </c>
      <c r="H106" s="6" t="s">
        <v>571</v>
      </c>
    </row>
    <row r="107" spans="1:8" ht="15.5" x14ac:dyDescent="0.3">
      <c r="A107" s="8">
        <v>105</v>
      </c>
      <c r="B107" s="6">
        <v>202310005</v>
      </c>
      <c r="C107" s="6" t="s">
        <v>861</v>
      </c>
      <c r="D107" s="6" t="s">
        <v>859</v>
      </c>
      <c r="E107" s="6" t="s">
        <v>862</v>
      </c>
      <c r="F107" s="7" t="s">
        <v>863</v>
      </c>
      <c r="G107" s="7" t="s">
        <v>615</v>
      </c>
      <c r="H107" s="6" t="s">
        <v>571</v>
      </c>
    </row>
    <row r="108" spans="1:8" ht="31" x14ac:dyDescent="0.3">
      <c r="A108" s="8">
        <v>106</v>
      </c>
      <c r="B108" s="6">
        <v>202310006</v>
      </c>
      <c r="C108" s="6" t="s">
        <v>864</v>
      </c>
      <c r="D108" s="6" t="s">
        <v>862</v>
      </c>
      <c r="E108" s="6" t="s">
        <v>865</v>
      </c>
      <c r="F108" s="7" t="s">
        <v>866</v>
      </c>
      <c r="G108" s="7" t="s">
        <v>615</v>
      </c>
      <c r="H108" s="6" t="s">
        <v>571</v>
      </c>
    </row>
    <row r="109" spans="1:8" ht="31" x14ac:dyDescent="0.3">
      <c r="A109" s="8">
        <v>107</v>
      </c>
      <c r="B109" s="6">
        <v>202310007</v>
      </c>
      <c r="C109" s="6" t="s">
        <v>867</v>
      </c>
      <c r="D109" s="6" t="s">
        <v>865</v>
      </c>
      <c r="E109" s="6" t="s">
        <v>868</v>
      </c>
      <c r="F109" s="7" t="s">
        <v>869</v>
      </c>
      <c r="G109" s="7" t="s">
        <v>713</v>
      </c>
      <c r="H109" s="6" t="s">
        <v>571</v>
      </c>
    </row>
    <row r="110" spans="1:8" ht="15.5" x14ac:dyDescent="0.3">
      <c r="A110" s="8">
        <v>108</v>
      </c>
      <c r="B110" s="6">
        <v>202310008</v>
      </c>
      <c r="C110" s="6" t="s">
        <v>870</v>
      </c>
      <c r="D110" s="6" t="s">
        <v>868</v>
      </c>
      <c r="E110" s="6" t="s">
        <v>871</v>
      </c>
      <c r="F110" s="7" t="s">
        <v>760</v>
      </c>
      <c r="G110" s="7" t="s">
        <v>872</v>
      </c>
      <c r="H110" s="8" t="s">
        <v>519</v>
      </c>
    </row>
    <row r="111" spans="1:8" ht="15.5" x14ac:dyDescent="0.3">
      <c r="A111" s="8">
        <v>109</v>
      </c>
      <c r="B111" s="6">
        <v>202310009</v>
      </c>
      <c r="C111" s="6" t="s">
        <v>873</v>
      </c>
      <c r="D111" s="6" t="s">
        <v>871</v>
      </c>
      <c r="E111" s="6" t="s">
        <v>874</v>
      </c>
      <c r="F111" s="7" t="s">
        <v>523</v>
      </c>
      <c r="G111" s="7" t="s">
        <v>682</v>
      </c>
      <c r="H111" s="8" t="s">
        <v>726</v>
      </c>
    </row>
    <row r="112" spans="1:8" ht="31" x14ac:dyDescent="0.3">
      <c r="A112" s="8">
        <v>110</v>
      </c>
      <c r="B112" s="6">
        <v>202310010</v>
      </c>
      <c r="C112" s="6" t="s">
        <v>875</v>
      </c>
      <c r="D112" s="6" t="s">
        <v>876</v>
      </c>
      <c r="E112" s="6" t="s">
        <v>877</v>
      </c>
      <c r="F112" s="7" t="s">
        <v>791</v>
      </c>
      <c r="G112" s="7" t="s">
        <v>872</v>
      </c>
      <c r="H112" s="8" t="s">
        <v>519</v>
      </c>
    </row>
    <row r="113" spans="1:8" ht="15.5" x14ac:dyDescent="0.3">
      <c r="A113" s="8">
        <v>111</v>
      </c>
      <c r="B113" s="6">
        <v>202310011</v>
      </c>
      <c r="C113" s="6" t="s">
        <v>878</v>
      </c>
      <c r="D113" s="6" t="s">
        <v>877</v>
      </c>
      <c r="E113" s="6" t="s">
        <v>879</v>
      </c>
      <c r="F113" s="7" t="s">
        <v>880</v>
      </c>
      <c r="G113" s="7" t="s">
        <v>881</v>
      </c>
      <c r="H113" s="8" t="s">
        <v>882</v>
      </c>
    </row>
    <row r="114" spans="1:8" ht="15.5" x14ac:dyDescent="0.3">
      <c r="A114" s="8">
        <v>112</v>
      </c>
      <c r="B114" s="6">
        <v>202310012</v>
      </c>
      <c r="C114" s="6" t="s">
        <v>883</v>
      </c>
      <c r="D114" s="6" t="s">
        <v>884</v>
      </c>
      <c r="E114" s="6" t="s">
        <v>885</v>
      </c>
      <c r="F114" s="7" t="s">
        <v>523</v>
      </c>
      <c r="G114" s="7" t="s">
        <v>682</v>
      </c>
      <c r="H114" s="8" t="s">
        <v>726</v>
      </c>
    </row>
    <row r="115" spans="1:8" ht="31" x14ac:dyDescent="0.3">
      <c r="A115" s="8">
        <v>113</v>
      </c>
      <c r="B115" s="6">
        <v>202310013</v>
      </c>
      <c r="C115" s="6" t="s">
        <v>886</v>
      </c>
      <c r="D115" s="6" t="s">
        <v>884</v>
      </c>
      <c r="E115" s="6" t="s">
        <v>885</v>
      </c>
      <c r="F115" s="7" t="s">
        <v>523</v>
      </c>
      <c r="G115" s="7" t="s">
        <v>799</v>
      </c>
      <c r="H115" s="8" t="s">
        <v>726</v>
      </c>
    </row>
    <row r="116" spans="1:8" ht="15.5" x14ac:dyDescent="0.3">
      <c r="A116" s="8">
        <v>114</v>
      </c>
      <c r="B116" s="6">
        <v>202310014</v>
      </c>
      <c r="C116" s="6" t="s">
        <v>887</v>
      </c>
      <c r="D116" s="6" t="s">
        <v>884</v>
      </c>
      <c r="E116" s="6" t="s">
        <v>885</v>
      </c>
      <c r="F116" s="7" t="s">
        <v>888</v>
      </c>
      <c r="G116" s="7" t="s">
        <v>889</v>
      </c>
      <c r="H116" s="8" t="s">
        <v>795</v>
      </c>
    </row>
    <row r="117" spans="1:8" ht="31" x14ac:dyDescent="0.3">
      <c r="A117" s="8">
        <v>115</v>
      </c>
      <c r="B117" s="6">
        <v>202310015</v>
      </c>
      <c r="C117" s="6" t="s">
        <v>890</v>
      </c>
      <c r="D117" s="6" t="s">
        <v>884</v>
      </c>
      <c r="E117" s="6" t="s">
        <v>885</v>
      </c>
      <c r="F117" s="7" t="s">
        <v>891</v>
      </c>
      <c r="G117" s="7" t="s">
        <v>892</v>
      </c>
      <c r="H117" s="8" t="s">
        <v>571</v>
      </c>
    </row>
    <row r="118" spans="1:8" ht="31" x14ac:dyDescent="0.3">
      <c r="A118" s="8">
        <v>116</v>
      </c>
      <c r="B118" s="6">
        <v>202310016</v>
      </c>
      <c r="C118" s="6" t="s">
        <v>893</v>
      </c>
      <c r="D118" s="6" t="s">
        <v>884</v>
      </c>
      <c r="E118" s="6" t="s">
        <v>885</v>
      </c>
      <c r="F118" s="7" t="s">
        <v>894</v>
      </c>
      <c r="G118" s="7" t="s">
        <v>895</v>
      </c>
      <c r="H118" s="8" t="s">
        <v>571</v>
      </c>
    </row>
    <row r="119" spans="1:8" ht="31" x14ac:dyDescent="0.3">
      <c r="A119" s="8">
        <v>117</v>
      </c>
      <c r="B119" s="6">
        <v>202310017</v>
      </c>
      <c r="C119" s="6" t="s">
        <v>896</v>
      </c>
      <c r="D119" s="6" t="s">
        <v>884</v>
      </c>
      <c r="E119" s="6" t="s">
        <v>885</v>
      </c>
      <c r="F119" s="7" t="s">
        <v>897</v>
      </c>
      <c r="G119" s="7" t="s">
        <v>898</v>
      </c>
      <c r="H119" s="8" t="s">
        <v>571</v>
      </c>
    </row>
    <row r="120" spans="1:8" ht="15.5" x14ac:dyDescent="0.3">
      <c r="A120" s="8">
        <v>118</v>
      </c>
      <c r="B120" s="6">
        <v>202310018</v>
      </c>
      <c r="C120" s="6" t="s">
        <v>899</v>
      </c>
      <c r="D120" s="6" t="s">
        <v>884</v>
      </c>
      <c r="E120" s="6" t="s">
        <v>885</v>
      </c>
      <c r="F120" s="7" t="s">
        <v>900</v>
      </c>
      <c r="G120" s="7" t="s">
        <v>665</v>
      </c>
      <c r="H120" s="8" t="s">
        <v>571</v>
      </c>
    </row>
    <row r="121" spans="1:8" ht="15.5" x14ac:dyDescent="0.3">
      <c r="A121" s="8">
        <v>119</v>
      </c>
      <c r="B121" s="6">
        <v>202310019</v>
      </c>
      <c r="C121" s="6" t="s">
        <v>901</v>
      </c>
      <c r="D121" s="6" t="s">
        <v>884</v>
      </c>
      <c r="E121" s="6" t="s">
        <v>885</v>
      </c>
      <c r="F121" s="7" t="s">
        <v>528</v>
      </c>
      <c r="G121" s="7" t="s">
        <v>902</v>
      </c>
      <c r="H121" s="8" t="s">
        <v>519</v>
      </c>
    </row>
    <row r="122" spans="1:8" ht="15.5" x14ac:dyDescent="0.3">
      <c r="A122" s="8">
        <v>120</v>
      </c>
      <c r="B122" s="6">
        <v>202310020</v>
      </c>
      <c r="C122" s="6" t="s">
        <v>903</v>
      </c>
      <c r="D122" s="6" t="s">
        <v>884</v>
      </c>
      <c r="E122" s="6" t="s">
        <v>885</v>
      </c>
      <c r="F122" s="7" t="s">
        <v>523</v>
      </c>
      <c r="G122" s="7" t="s">
        <v>904</v>
      </c>
      <c r="H122" s="8" t="s">
        <v>519</v>
      </c>
    </row>
    <row r="123" spans="1:8" ht="15.5" x14ac:dyDescent="0.3">
      <c r="A123" s="8">
        <v>121</v>
      </c>
      <c r="B123" s="6">
        <v>202310021</v>
      </c>
      <c r="C123" s="6" t="s">
        <v>905</v>
      </c>
      <c r="D123" s="6" t="s">
        <v>885</v>
      </c>
      <c r="E123" s="6" t="s">
        <v>885</v>
      </c>
      <c r="F123" s="7" t="s">
        <v>906</v>
      </c>
      <c r="G123" s="7" t="s">
        <v>605</v>
      </c>
      <c r="H123" s="8" t="s">
        <v>571</v>
      </c>
    </row>
    <row r="124" spans="1:8" ht="15.5" x14ac:dyDescent="0.3">
      <c r="A124" s="8">
        <v>122</v>
      </c>
      <c r="B124" s="6">
        <v>202310022</v>
      </c>
      <c r="C124" s="6" t="s">
        <v>907</v>
      </c>
      <c r="D124" s="6" t="s">
        <v>885</v>
      </c>
      <c r="E124" s="6" t="s">
        <v>885</v>
      </c>
      <c r="F124" s="7" t="s">
        <v>908</v>
      </c>
      <c r="G124" s="7" t="s">
        <v>605</v>
      </c>
      <c r="H124" s="8" t="s">
        <v>571</v>
      </c>
    </row>
    <row r="125" spans="1:8" ht="15.5" x14ac:dyDescent="0.3">
      <c r="A125" s="8">
        <v>123</v>
      </c>
      <c r="B125" s="6">
        <v>202310023</v>
      </c>
      <c r="C125" s="6" t="s">
        <v>909</v>
      </c>
      <c r="D125" s="6" t="s">
        <v>885</v>
      </c>
      <c r="E125" s="6" t="s">
        <v>885</v>
      </c>
      <c r="F125" s="7" t="s">
        <v>910</v>
      </c>
      <c r="G125" s="7" t="s">
        <v>605</v>
      </c>
      <c r="H125" s="8" t="s">
        <v>571</v>
      </c>
    </row>
    <row r="126" spans="1:8" ht="15.5" x14ac:dyDescent="0.3">
      <c r="A126" s="8">
        <v>124</v>
      </c>
      <c r="B126" s="6">
        <v>202310024</v>
      </c>
      <c r="C126" s="6" t="s">
        <v>911</v>
      </c>
      <c r="D126" s="6" t="s">
        <v>885</v>
      </c>
      <c r="E126" s="6" t="s">
        <v>885</v>
      </c>
      <c r="F126" s="7" t="s">
        <v>912</v>
      </c>
      <c r="G126" s="7" t="s">
        <v>605</v>
      </c>
      <c r="H126" s="8" t="s">
        <v>571</v>
      </c>
    </row>
    <row r="127" spans="1:8" ht="31" x14ac:dyDescent="0.3">
      <c r="A127" s="8">
        <v>125</v>
      </c>
      <c r="B127" s="6">
        <v>202310025</v>
      </c>
      <c r="C127" s="6" t="s">
        <v>913</v>
      </c>
      <c r="D127" s="6" t="s">
        <v>885</v>
      </c>
      <c r="E127" s="6" t="s">
        <v>885</v>
      </c>
      <c r="F127" s="7" t="s">
        <v>914</v>
      </c>
      <c r="G127" s="8" t="s">
        <v>915</v>
      </c>
      <c r="H127" s="8" t="s">
        <v>571</v>
      </c>
    </row>
    <row r="128" spans="1:8" x14ac:dyDescent="0.3">
      <c r="A128" s="11">
        <v>126</v>
      </c>
      <c r="B128" s="11">
        <v>202310026</v>
      </c>
      <c r="C128" s="11" t="s">
        <v>916</v>
      </c>
      <c r="D128" s="11" t="s">
        <v>917</v>
      </c>
      <c r="E128" s="11" t="s">
        <v>917</v>
      </c>
      <c r="F128" s="12" t="s">
        <v>918</v>
      </c>
      <c r="G128" s="12" t="s">
        <v>919</v>
      </c>
      <c r="H128" s="11" t="s">
        <v>571</v>
      </c>
    </row>
  </sheetData>
  <mergeCells count="1">
    <mergeCell ref="A1:H1"/>
  </mergeCells>
  <phoneticPr fontId="1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>
      <selection activeCell="C8" sqref="C8"/>
    </sheetView>
  </sheetViews>
  <sheetFormatPr defaultColWidth="9" defaultRowHeight="14" x14ac:dyDescent="0.3"/>
  <sheetData>
    <row r="1" spans="1:3" x14ac:dyDescent="0.3">
      <c r="A1" s="1" t="s">
        <v>920</v>
      </c>
      <c r="B1" s="1" t="s">
        <v>921</v>
      </c>
      <c r="C1" s="1" t="s">
        <v>922</v>
      </c>
    </row>
    <row r="2" spans="1:3" x14ac:dyDescent="0.3">
      <c r="A2" s="1" t="s">
        <v>923</v>
      </c>
      <c r="B2" s="1">
        <v>12</v>
      </c>
      <c r="C2" s="1">
        <v>12</v>
      </c>
    </row>
    <row r="3" spans="1:3" x14ac:dyDescent="0.3">
      <c r="A3" s="1" t="s">
        <v>924</v>
      </c>
      <c r="B3" s="1">
        <v>15</v>
      </c>
      <c r="C3" s="1">
        <v>15</v>
      </c>
    </row>
    <row r="4" spans="1:3" x14ac:dyDescent="0.3">
      <c r="A4" s="1" t="s">
        <v>925</v>
      </c>
      <c r="B4" s="1">
        <v>26</v>
      </c>
      <c r="C4" s="1">
        <v>26</v>
      </c>
    </row>
    <row r="5" spans="1:3" x14ac:dyDescent="0.3">
      <c r="A5" s="1" t="s">
        <v>926</v>
      </c>
      <c r="B5" s="1"/>
      <c r="C5" s="1"/>
    </row>
    <row r="6" spans="1:3" x14ac:dyDescent="0.3">
      <c r="A6" s="1" t="s">
        <v>927</v>
      </c>
      <c r="B6" s="1"/>
      <c r="C6" s="1"/>
    </row>
    <row r="17" spans="1:3" x14ac:dyDescent="0.3">
      <c r="A17" s="1" t="s">
        <v>920</v>
      </c>
      <c r="B17" s="1" t="s">
        <v>928</v>
      </c>
      <c r="C17" s="1"/>
    </row>
    <row r="18" spans="1:3" x14ac:dyDescent="0.3">
      <c r="A18" s="1" t="s">
        <v>923</v>
      </c>
      <c r="B18" s="1">
        <v>0</v>
      </c>
      <c r="C18" s="1"/>
    </row>
    <row r="19" spans="1:3" x14ac:dyDescent="0.3">
      <c r="A19" s="1" t="s">
        <v>924</v>
      </c>
      <c r="B19" s="1">
        <v>0</v>
      </c>
      <c r="C19" s="1"/>
    </row>
    <row r="20" spans="1:3" x14ac:dyDescent="0.3">
      <c r="A20" s="1" t="s">
        <v>925</v>
      </c>
      <c r="B20" s="1">
        <v>100</v>
      </c>
      <c r="C20" s="1"/>
    </row>
    <row r="21" spans="1:3" x14ac:dyDescent="0.3">
      <c r="A21" s="1" t="s">
        <v>926</v>
      </c>
      <c r="B21" s="1">
        <v>200</v>
      </c>
      <c r="C21" s="1"/>
    </row>
    <row r="22" spans="1:3" x14ac:dyDescent="0.3">
      <c r="A22" s="1" t="s">
        <v>927</v>
      </c>
      <c r="B22" s="1"/>
      <c r="C22" s="1"/>
    </row>
  </sheetData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设备管理</vt:lpstr>
      <vt:lpstr>环境管理</vt:lpstr>
      <vt:lpstr>易耗品管理</vt:lpstr>
      <vt:lpstr>方法管理</vt:lpstr>
      <vt:lpstr>委托信息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秦兴国</dc:creator>
  <cp:lastModifiedBy>WANG Peng.N</cp:lastModifiedBy>
  <dcterms:created xsi:type="dcterms:W3CDTF">2015-06-05T18:19:00Z</dcterms:created>
  <dcterms:modified xsi:type="dcterms:W3CDTF">2025-11-24T05:59:57Z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6D3A620A750C4C43A24230C7A1995118_13</vt:lpwstr>
  </property>
  <property fmtid="{D5CDD505-2E9C-101B-9397-08002B2CF9AE}" pid="3" name="KSOProductBuildVer">
    <vt:lpwstr>2052-12.1.0.15933</vt:lpwstr>
  </property>
</Properties>
</file>